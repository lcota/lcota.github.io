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defaultThemeVersion="166925"/>
  <mc:AlternateContent xmlns:mc="http://schemas.openxmlformats.org/markup-compatibility/2006">
    <mc:Choice Requires="x15">
      <x15ac:absPath xmlns:x15ac="http://schemas.microsoft.com/office/spreadsheetml/2010/11/ac" url="C:\Users\lcota\Dropbox\prj\Turnleaf_Analytics\"/>
    </mc:Choice>
  </mc:AlternateContent>
  <xr:revisionPtr revIDLastSave="0" documentId="13_ncr:1_{156BC140-9861-48EA-B8CF-CE247B7CB17C}" xr6:coauthVersionLast="47" xr6:coauthVersionMax="47" xr10:uidLastSave="{00000000-0000-0000-0000-000000000000}"/>
  <bookViews>
    <workbookView xWindow="-110" yWindow="-110" windowWidth="38620" windowHeight="21820" activeTab="2" xr2:uid="{F27362DB-DA90-4AD1-A8FD-AFF0AB92D912}"/>
  </bookViews>
  <sheets>
    <sheet name="Sheet4" sheetId="4" r:id="rId1"/>
    <sheet name="Sheet1" sheetId="5" r:id="rId2"/>
    <sheet name="Sheet3" sheetId="3" r:id="rId3"/>
    <sheet name="Decay Indicators" sheetId="2" r:id="rId4"/>
    <sheet name="FrequencyTables" sheetId="1" r:id="rId5"/>
  </sheets>
  <definedNames>
    <definedName name="Slicer_indicator">#N/A</definedName>
    <definedName name="Slicer_posneg">#N/A</definedName>
  </definedNames>
  <calcPr calcId="191029"/>
  <pivotCaches>
    <pivotCache cacheId="0" r:id="rId6"/>
    <pivotCache cacheId="5"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J6" i="1" l="1"/>
  <c r="AJ7" i="1"/>
  <c r="AJ8"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5" i="1"/>
</calcChain>
</file>

<file path=xl/sharedStrings.xml><?xml version="1.0" encoding="utf-8"?>
<sst xmlns="http://schemas.openxmlformats.org/spreadsheetml/2006/main" count="1021" uniqueCount="229">
  <si>
    <t>indicator</t>
  </si>
  <si>
    <t>posneg</t>
  </si>
  <si>
    <t>spy</t>
  </si>
  <si>
    <t>agg</t>
  </si>
  <si>
    <t>xop</t>
  </si>
  <si>
    <t>xme</t>
  </si>
  <si>
    <t>xhb</t>
  </si>
  <si>
    <t>gld</t>
  </si>
  <si>
    <t>bil</t>
  </si>
  <si>
    <t>tip</t>
  </si>
  <si>
    <t>spts</t>
  </si>
  <si>
    <t>spti</t>
  </si>
  <si>
    <t>naivevol</t>
  </si>
  <si>
    <t>pmpmi</t>
  </si>
  <si>
    <t>neg</t>
  </si>
  <si>
    <t>pos</t>
  </si>
  <si>
    <t>pmnmi</t>
  </si>
  <si>
    <t>cpiyoy</t>
  </si>
  <si>
    <t>lag</t>
  </si>
  <si>
    <t>lag 0</t>
  </si>
  <si>
    <t>lag -1</t>
  </si>
  <si>
    <t>lag -2</t>
  </si>
  <si>
    <t>lag -3</t>
  </si>
  <si>
    <t>lag -4</t>
  </si>
  <si>
    <t>lag -5</t>
  </si>
  <si>
    <t>lag -6</t>
  </si>
  <si>
    <t>lag -7</t>
  </si>
  <si>
    <t>lag -8</t>
  </si>
  <si>
    <t>lag -9</t>
  </si>
  <si>
    <t>lag -10</t>
  </si>
  <si>
    <t>lag -11</t>
  </si>
  <si>
    <t>lag -12</t>
  </si>
  <si>
    <t>6040</t>
  </si>
  <si>
    <t>Row Labels</t>
  </si>
  <si>
    <t>Grand Total</t>
  </si>
  <si>
    <t>lag 1</t>
  </si>
  <si>
    <t>lag 2</t>
  </si>
  <si>
    <t>lag 3</t>
  </si>
  <si>
    <t>lag 4</t>
  </si>
  <si>
    <t>lag 5</t>
  </si>
  <si>
    <t>lag 6</t>
  </si>
  <si>
    <t>lag 7</t>
  </si>
  <si>
    <t>lag 8</t>
  </si>
  <si>
    <t>lag 9</t>
  </si>
  <si>
    <t>lag 10</t>
  </si>
  <si>
    <t>lag 11</t>
  </si>
  <si>
    <t>lag 12</t>
  </si>
  <si>
    <t>Rtn spy</t>
  </si>
  <si>
    <t>Rtn agg</t>
  </si>
  <si>
    <t>Rtn xop</t>
  </si>
  <si>
    <t>Rtn xme</t>
  </si>
  <si>
    <t>Rtn xhb</t>
  </si>
  <si>
    <t>Rtn gld</t>
  </si>
  <si>
    <t>Rtn bil</t>
  </si>
  <si>
    <t>Rtn tip</t>
  </si>
  <si>
    <t>Rtn spts</t>
  </si>
  <si>
    <t>Rtn spti</t>
  </si>
  <si>
    <t>Rtn naivevol</t>
  </si>
  <si>
    <t>Rtn 6040</t>
  </si>
  <si>
    <t>cpiyoy.surprise</t>
  </si>
  <si>
    <t>refmonthyear</t>
  </si>
  <si>
    <t>signal</t>
  </si>
  <si>
    <t>sig.wgt.rtn</t>
  </si>
  <si>
    <t>sig.returns</t>
  </si>
  <si>
    <t>JAN.2012</t>
  </si>
  <si>
    <t>FEB.2012</t>
  </si>
  <si>
    <t>MAR.2012</t>
  </si>
  <si>
    <t>APR.2012</t>
  </si>
  <si>
    <t>MAY.2012</t>
  </si>
  <si>
    <t>JUN.2012</t>
  </si>
  <si>
    <t>JUL.2012</t>
  </si>
  <si>
    <t>AUG.2012</t>
  </si>
  <si>
    <t>SEP.2012</t>
  </si>
  <si>
    <t>OCT.2012</t>
  </si>
  <si>
    <t>NOV.2012</t>
  </si>
  <si>
    <t>DEC.2012</t>
  </si>
  <si>
    <t>JAN.2013</t>
  </si>
  <si>
    <t>FEB.2013</t>
  </si>
  <si>
    <t>MAR.2013</t>
  </si>
  <si>
    <t>APR.2013</t>
  </si>
  <si>
    <t>MAY.2013</t>
  </si>
  <si>
    <t>JUN.2013</t>
  </si>
  <si>
    <t>JUL.2013</t>
  </si>
  <si>
    <t>AUG.2013</t>
  </si>
  <si>
    <t>SEP.2013</t>
  </si>
  <si>
    <t>OCT.2013</t>
  </si>
  <si>
    <t>NOV.2013</t>
  </si>
  <si>
    <t>DEC.2013</t>
  </si>
  <si>
    <t>JAN.2014</t>
  </si>
  <si>
    <t>FEB.2014</t>
  </si>
  <si>
    <t>MAR.2014</t>
  </si>
  <si>
    <t>APR.2014</t>
  </si>
  <si>
    <t>MAY.2014</t>
  </si>
  <si>
    <t>JUN.2014</t>
  </si>
  <si>
    <t>JUL.2014</t>
  </si>
  <si>
    <t>AUG.2014</t>
  </si>
  <si>
    <t>SEP.2014</t>
  </si>
  <si>
    <t>OCT.2014</t>
  </si>
  <si>
    <t>NOV.2014</t>
  </si>
  <si>
    <t>DEC.2014</t>
  </si>
  <si>
    <t>JAN.2015</t>
  </si>
  <si>
    <t>FEB.2015</t>
  </si>
  <si>
    <t>MAR.2015</t>
  </si>
  <si>
    <t>APR.2015</t>
  </si>
  <si>
    <t>MAY.2015</t>
  </si>
  <si>
    <t>JUN.2015</t>
  </si>
  <si>
    <t>JUL.2015</t>
  </si>
  <si>
    <t>AUG.2015</t>
  </si>
  <si>
    <t>SEP.2015</t>
  </si>
  <si>
    <t>OCT.2015</t>
  </si>
  <si>
    <t>NOV.2015</t>
  </si>
  <si>
    <t>DEC.2015</t>
  </si>
  <si>
    <t>JAN.2016</t>
  </si>
  <si>
    <t>FEB.2016</t>
  </si>
  <si>
    <t>MAR.2016</t>
  </si>
  <si>
    <t>APR.2016</t>
  </si>
  <si>
    <t>MAY.2016</t>
  </si>
  <si>
    <t>JUN.2016</t>
  </si>
  <si>
    <t>JUL.2016</t>
  </si>
  <si>
    <t>AUG.2016</t>
  </si>
  <si>
    <t>SEP.2016</t>
  </si>
  <si>
    <t>OCT.2016</t>
  </si>
  <si>
    <t>NOV.2016</t>
  </si>
  <si>
    <t>DEC.2016</t>
  </si>
  <si>
    <t>JAN.2017</t>
  </si>
  <si>
    <t>FEB.2017</t>
  </si>
  <si>
    <t>MAR.2017</t>
  </si>
  <si>
    <t>APR.2017</t>
  </si>
  <si>
    <t>MAY.2017</t>
  </si>
  <si>
    <t>JUN.2017</t>
  </si>
  <si>
    <t>JUL.2017</t>
  </si>
  <si>
    <t>AUG.2017</t>
  </si>
  <si>
    <t>SEP.2017</t>
  </si>
  <si>
    <t>OCT.2017</t>
  </si>
  <si>
    <t>NOV.2017</t>
  </si>
  <si>
    <t>DEC.2017</t>
  </si>
  <si>
    <t>JAN.2018</t>
  </si>
  <si>
    <t>FEB.2018</t>
  </si>
  <si>
    <t>MAR.2018</t>
  </si>
  <si>
    <t>APR.2018</t>
  </si>
  <si>
    <t>MAY.2018</t>
  </si>
  <si>
    <t>JUN.2018</t>
  </si>
  <si>
    <t>JUL.2018</t>
  </si>
  <si>
    <t>AUG.2018</t>
  </si>
  <si>
    <t>SEP.2018</t>
  </si>
  <si>
    <t>OCT.2018</t>
  </si>
  <si>
    <t>NOV.2018</t>
  </si>
  <si>
    <t>DEC.2018</t>
  </si>
  <si>
    <t>JAN.2019</t>
  </si>
  <si>
    <t>FEB.2019</t>
  </si>
  <si>
    <t>MAR.2019</t>
  </si>
  <si>
    <t>APR.2019</t>
  </si>
  <si>
    <t>MAY.2019</t>
  </si>
  <si>
    <t>JUN.2019</t>
  </si>
  <si>
    <t>JUL.2019</t>
  </si>
  <si>
    <t>AUG.2019</t>
  </si>
  <si>
    <t>SEP.2019</t>
  </si>
  <si>
    <t>OCT.2019</t>
  </si>
  <si>
    <t>NOV.2019</t>
  </si>
  <si>
    <t>DEC.2019</t>
  </si>
  <si>
    <t>JAN.2020</t>
  </si>
  <si>
    <t>FEB.2020</t>
  </si>
  <si>
    <t>MAR.2020</t>
  </si>
  <si>
    <t>APR.2020</t>
  </si>
  <si>
    <t>MAY.2020</t>
  </si>
  <si>
    <t>JUN.2020</t>
  </si>
  <si>
    <t>JUL.2020</t>
  </si>
  <si>
    <t>AUG.2020</t>
  </si>
  <si>
    <t>SEP.2020</t>
  </si>
  <si>
    <t>OCT.2020</t>
  </si>
  <si>
    <t>NOV.2020</t>
  </si>
  <si>
    <t>DEC.2020</t>
  </si>
  <si>
    <t>JAN.2021</t>
  </si>
  <si>
    <t>FEB.2021</t>
  </si>
  <si>
    <t>MAR.2021</t>
  </si>
  <si>
    <t>APR.2021</t>
  </si>
  <si>
    <t>MAY.2021</t>
  </si>
  <si>
    <t>JUN.2021</t>
  </si>
  <si>
    <t>JUL.2021</t>
  </si>
  <si>
    <t>AUG.2021</t>
  </si>
  <si>
    <t>SEP.2021</t>
  </si>
  <si>
    <t>OCT.2021</t>
  </si>
  <si>
    <t>NOV.2021</t>
  </si>
  <si>
    <t>DEC.2021</t>
  </si>
  <si>
    <t>JAN.2022</t>
  </si>
  <si>
    <t>FEB.2022</t>
  </si>
  <si>
    <t>MAR.2022</t>
  </si>
  <si>
    <t>APR.2022</t>
  </si>
  <si>
    <t>MAY.2022</t>
  </si>
  <si>
    <t>JUN.2022</t>
  </si>
  <si>
    <t>JUL.2022</t>
  </si>
  <si>
    <t>AUG.2022</t>
  </si>
  <si>
    <t>SEP.2022</t>
  </si>
  <si>
    <t>OCT.2022</t>
  </si>
  <si>
    <t>NOV.2022</t>
  </si>
  <si>
    <t>DEC.2022</t>
  </si>
  <si>
    <t>JAN.2023</t>
  </si>
  <si>
    <t>FEB.2023</t>
  </si>
  <si>
    <t>MAR.2023</t>
  </si>
  <si>
    <t>APR.2023</t>
  </si>
  <si>
    <t>MAY.2023</t>
  </si>
  <si>
    <t>JUN.2023</t>
  </si>
  <si>
    <t>JUL.2023</t>
  </si>
  <si>
    <t>AUG.2023</t>
  </si>
  <si>
    <t>SEP.2023</t>
  </si>
  <si>
    <t>OCT.2023</t>
  </si>
  <si>
    <t>NOV.2023</t>
  </si>
  <si>
    <t>ticker</t>
  </si>
  <si>
    <t>signame</t>
  </si>
  <si>
    <t>cpi.above</t>
  </si>
  <si>
    <t>nmi.above</t>
  </si>
  <si>
    <t>pmi.above</t>
  </si>
  <si>
    <t>wgt.combo.signal</t>
  </si>
  <si>
    <t>base.vol</t>
  </si>
  <si>
    <t>wgt.vol</t>
  </si>
  <si>
    <t>base vol</t>
  </si>
  <si>
    <t>base rtn</t>
  </si>
  <si>
    <t>base sharpe</t>
  </si>
  <si>
    <t>wgt vol</t>
  </si>
  <si>
    <t>wgt rtn</t>
  </si>
  <si>
    <t>wgt sharpe</t>
  </si>
  <si>
    <t>Trailing Median Performance Table</t>
  </si>
  <si>
    <t>Column Labels</t>
  </si>
  <si>
    <t>base.sharpe</t>
  </si>
  <si>
    <t>wgt.sharpe</t>
  </si>
  <si>
    <t xml:space="preserve">Sharpe </t>
  </si>
  <si>
    <t>Vol</t>
  </si>
  <si>
    <t>Ticker</t>
  </si>
  <si>
    <t>Trailing Relative Sharpe / Relative Vol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</si>
</sst>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6" formatCode="0.0%"/>
  </numFmts>
  <fonts count="3" x14ac:knownFonts="1">
    <font>
      <sz val="11"/>
      <color theme="1"/>
      <name val="Calibri"/>
      <family val="2"/>
      <scheme val="minor"/>
    </font>
    <font>
      <sz val="8"/>
      <name val="Calibri"/>
      <family val="2"/>
      <scheme val="minor"/>
    </font>
    <font>
      <b/>
      <sz val="11"/>
      <color theme="1"/>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8" tint="0.79998168889431442"/>
        <bgColor indexed="64"/>
      </patternFill>
    </fill>
  </fills>
  <borders count="11">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38">
    <xf numFmtId="0" fontId="0" fillId="0" borderId="0" xfId="0"/>
    <xf numFmtId="0" fontId="0" fillId="0" borderId="0" xfId="0" pivotButton="1"/>
    <xf numFmtId="0" fontId="0" fillId="0" borderId="0" xfId="0" applyAlignment="1">
      <alignment horizontal="left"/>
    </xf>
    <xf numFmtId="11" fontId="0" fillId="0" borderId="0" xfId="0" applyNumberFormat="1"/>
    <xf numFmtId="10" fontId="0" fillId="0" borderId="0" xfId="0" applyNumberFormat="1"/>
    <xf numFmtId="2" fontId="0" fillId="0" borderId="0" xfId="0" applyNumberFormat="1"/>
    <xf numFmtId="0" fontId="2" fillId="0" borderId="0" xfId="0" applyFont="1"/>
    <xf numFmtId="2" fontId="0" fillId="3" borderId="2" xfId="0" applyNumberFormat="1" applyFill="1" applyBorder="1"/>
    <xf numFmtId="2" fontId="0" fillId="3" borderId="3" xfId="0" applyNumberFormat="1" applyFill="1" applyBorder="1"/>
    <xf numFmtId="2" fontId="0" fillId="3" borderId="4" xfId="0" applyNumberFormat="1" applyFill="1" applyBorder="1"/>
    <xf numFmtId="2" fontId="0" fillId="3" borderId="5" xfId="0" applyNumberFormat="1" applyFill="1" applyBorder="1"/>
    <xf numFmtId="2" fontId="0" fillId="3" borderId="6" xfId="0" applyNumberFormat="1" applyFill="1" applyBorder="1"/>
    <xf numFmtId="2" fontId="0" fillId="3" borderId="7" xfId="0" applyNumberFormat="1" applyFill="1" applyBorder="1"/>
    <xf numFmtId="2" fontId="0" fillId="2" borderId="3" xfId="0" applyNumberFormat="1" applyFill="1" applyBorder="1"/>
    <xf numFmtId="2" fontId="0" fillId="2" borderId="5" xfId="0" applyNumberFormat="1" applyFill="1" applyBorder="1"/>
    <xf numFmtId="2" fontId="0" fillId="2" borderId="7" xfId="0" applyNumberFormat="1" applyFill="1" applyBorder="1"/>
    <xf numFmtId="2" fontId="0" fillId="2" borderId="9" xfId="0" applyNumberFormat="1" applyFill="1" applyBorder="1"/>
    <xf numFmtId="2" fontId="0" fillId="2" borderId="0" xfId="0" applyNumberFormat="1" applyFill="1" applyBorder="1"/>
    <xf numFmtId="2" fontId="0" fillId="2" borderId="1" xfId="0" applyNumberFormat="1" applyFill="1" applyBorder="1"/>
    <xf numFmtId="2" fontId="0" fillId="3" borderId="9" xfId="0" applyNumberFormat="1" applyFill="1" applyBorder="1"/>
    <xf numFmtId="2" fontId="0" fillId="3" borderId="0" xfId="0" applyNumberFormat="1" applyFill="1" applyBorder="1"/>
    <xf numFmtId="2" fontId="0" fillId="3" borderId="1" xfId="0" applyNumberFormat="1" applyFill="1" applyBorder="1"/>
    <xf numFmtId="166" fontId="0" fillId="0" borderId="0" xfId="0" applyNumberFormat="1"/>
    <xf numFmtId="166" fontId="0" fillId="2" borderId="9" xfId="0" applyNumberFormat="1" applyFill="1" applyBorder="1"/>
    <xf numFmtId="166" fontId="0" fillId="2" borderId="0" xfId="0" applyNumberFormat="1" applyFill="1" applyBorder="1"/>
    <xf numFmtId="166" fontId="0" fillId="2" borderId="1" xfId="0" applyNumberFormat="1" applyFill="1" applyBorder="1"/>
    <xf numFmtId="166" fontId="0" fillId="2" borderId="3" xfId="0" applyNumberFormat="1" applyFill="1" applyBorder="1"/>
    <xf numFmtId="166" fontId="0" fillId="2" borderId="5" xfId="0" applyNumberFormat="1" applyFill="1" applyBorder="1"/>
    <xf numFmtId="166" fontId="0" fillId="2" borderId="7" xfId="0" applyNumberFormat="1" applyFill="1" applyBorder="1"/>
    <xf numFmtId="0" fontId="0" fillId="0" borderId="10" xfId="0" applyBorder="1"/>
    <xf numFmtId="0" fontId="0" fillId="0" borderId="8" xfId="0" applyBorder="1"/>
    <xf numFmtId="0" fontId="2" fillId="0" borderId="10" xfId="0" applyFont="1" applyBorder="1" applyAlignment="1">
      <alignment horizontal="center"/>
    </xf>
    <xf numFmtId="0" fontId="2" fillId="0" borderId="8" xfId="0" applyFont="1" applyBorder="1" applyAlignment="1">
      <alignment horizontal="center"/>
    </xf>
    <xf numFmtId="2" fontId="0" fillId="0" borderId="4" xfId="0" applyNumberFormat="1" applyBorder="1" applyAlignment="1">
      <alignment horizontal="center"/>
    </xf>
    <xf numFmtId="2" fontId="0" fillId="0" borderId="5" xfId="0" applyNumberForma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0" fontId="2" fillId="0" borderId="0" xfId="0" applyFont="1" applyAlignment="1">
      <alignment horizontal="left"/>
    </xf>
  </cellXfs>
  <cellStyles count="1">
    <cellStyle name="Normal" xfId="0" builtinId="0"/>
  </cellStyles>
  <dxfs count="59">
    <dxf>
      <alignment horizontal="left" vertical="bottom" textRotation="0" wrapText="0" indent="0" justifyLastLine="0" shrinkToFit="0" readingOrder="0"/>
    </dxf>
    <dxf>
      <font>
        <color rgb="FF006100"/>
      </font>
      <fill>
        <patternFill>
          <bgColor rgb="FFC6EFCE"/>
        </patternFill>
      </fill>
    </dxf>
    <dxf>
      <numFmt numFmtId="166" formatCode="0.0%"/>
    </dxf>
    <dxf>
      <border>
        <left style="thin">
          <color indexed="64"/>
        </left>
        <right style="thin">
          <color indexed="64"/>
        </right>
        <top style="thin">
          <color indexed="64"/>
        </top>
        <bottom style="thin">
          <color indexed="64"/>
        </bottom>
      </border>
    </dxf>
    <dxf>
      <fill>
        <patternFill patternType="solid">
          <bgColor theme="0" tint="-4.9989318521683403E-2"/>
        </patternFill>
      </fill>
    </dxf>
    <dxf>
      <fill>
        <patternFill patternType="solid">
          <bgColor theme="8" tint="0.79998168889431442"/>
        </patternFill>
      </fill>
    </dxf>
    <dxf>
      <fill>
        <patternFill patternType="solid">
          <bgColor theme="8" tint="0.79998168889431442"/>
        </patternFill>
      </fill>
    </dxf>
    <dxf>
      <fill>
        <patternFill patternType="solid">
          <bgColor theme="0" tint="-4.9989318521683403E-2"/>
        </patternFill>
      </fill>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166" formatCode="0.0%"/>
    </dxf>
    <dxf>
      <numFmt numFmtId="166" formatCode="0.0%"/>
    </dxf>
    <dxf>
      <border>
        <left style="thin">
          <color indexed="64"/>
        </left>
        <right style="thin">
          <color indexed="64"/>
        </right>
        <top style="thin">
          <color indexed="64"/>
        </top>
        <bottom style="thin">
          <color indexed="64"/>
        </bottom>
      </border>
    </dxf>
    <dxf>
      <fill>
        <patternFill patternType="solid">
          <bgColor theme="0" tint="-4.9989318521683403E-2"/>
        </patternFill>
      </fill>
    </dxf>
    <dxf>
      <fill>
        <patternFill patternType="solid">
          <bgColor theme="8" tint="0.79998168889431442"/>
        </patternFill>
      </fill>
    </dxf>
    <dxf>
      <fill>
        <patternFill patternType="solid">
          <bgColor theme="8" tint="0.79998168889431442"/>
        </patternFill>
      </fill>
    </dxf>
    <dxf>
      <fill>
        <patternFill patternType="solid">
          <bgColor theme="0" tint="-4.9989318521683403E-2"/>
        </patternFill>
      </fill>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4.9989318521683403E-2"/>
        </patternFill>
      </fill>
    </dxf>
    <dxf>
      <fill>
        <patternFill patternType="solid">
          <bgColor theme="8" tint="0.79998168889431442"/>
        </patternFill>
      </fill>
    </dxf>
    <dxf>
      <fill>
        <patternFill patternType="solid">
          <bgColor theme="8" tint="0.79998168889431442"/>
        </patternFill>
      </fill>
    </dxf>
    <dxf>
      <fill>
        <patternFill patternType="solid">
          <bgColor theme="0" tint="-4.9989318521683403E-2"/>
        </patternFill>
      </fill>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4.9989318521683403E-2"/>
        </patternFill>
      </fill>
    </dxf>
    <dxf>
      <fill>
        <patternFill patternType="solid">
          <bgColor theme="8" tint="0.79998168889431442"/>
        </patternFill>
      </fill>
    </dxf>
    <dxf>
      <fill>
        <patternFill patternType="solid">
          <bgColor theme="8" tint="0.79998168889431442"/>
        </patternFill>
      </fill>
    </dxf>
    <dxf>
      <fill>
        <patternFill patternType="solid">
          <bgColor theme="0" tint="-4.9989318521683403E-2"/>
        </patternFill>
      </fill>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4.9989318521683403E-2"/>
        </patternFill>
      </fill>
    </dxf>
    <dxf>
      <fill>
        <patternFill patternType="solid">
          <bgColor theme="8" tint="0.79998168889431442"/>
        </patternFill>
      </fill>
    </dxf>
    <dxf>
      <fill>
        <patternFill patternType="solid">
          <bgColor theme="8" tint="0.79998168889431442"/>
        </patternFill>
      </fill>
    </dxf>
    <dxf>
      <fill>
        <patternFill patternType="solid">
          <bgColor theme="0" tint="-4.9989318521683403E-2"/>
        </patternFill>
      </fill>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fill>
        <patternFill patternType="solid">
          <bgColor theme="0" tint="-4.9989318521683403E-2"/>
        </patternFill>
      </fill>
    </dxf>
    <dxf>
      <fill>
        <patternFill patternType="solid">
          <bgColor theme="8" tint="0.79998168889431442"/>
        </patternFill>
      </fill>
    </dxf>
    <dxf>
      <fill>
        <patternFill patternType="solid">
          <bgColor theme="8" tint="0.79998168889431442"/>
        </patternFill>
      </fill>
    </dxf>
    <dxf>
      <fill>
        <patternFill patternType="solid">
          <bgColor theme="0" tint="-4.9989318521683403E-2"/>
        </patternFill>
      </fill>
    </dxf>
    <dxf>
      <border>
        <left style="thin">
          <color indexed="64"/>
        </left>
        <right style="thin">
          <color indexed="64"/>
        </right>
        <top style="thin">
          <color indexed="64"/>
        </top>
        <bottom style="thin">
          <color indexed="64"/>
        </bottom>
      </border>
    </dxf>
    <dxf>
      <numFmt numFmtId="2" formatCode="0.00"/>
    </dxf>
    <dxf>
      <numFmt numFmtId="2" formatCode="0.00"/>
    </dxf>
    <dxf>
      <numFmt numFmtId="14" formatCode="0.00%"/>
    </dxf>
    <dxf>
      <numFmt numFmtId="14" formatCode="0.00%"/>
    </dxf>
    <dxf>
      <numFmt numFmtId="14" formatCode="0.00%"/>
    </dxf>
    <dxf>
      <numFmt numFmtId="1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[StrategyStats.xlsm]Decay Indicators!PivotTable2</c:name>
    <c:fmtId val="0"/>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62"/>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63"/>
        <c:spPr>
          <a:solidFill>
            <a:schemeClr val="accent4"/>
          </a:solidFill>
          <a:ln>
            <a:noFill/>
          </a:ln>
          <a:effectLst/>
        </c:spPr>
        <c:marker>
          <c:symbol val="none"/>
        </c:marker>
        <c:dLbl>
          <c:idx val="0"/>
          <c:delete val="1"/>
          <c:extLst>
            <c:ext xmlns:c15="http://schemas.microsoft.com/office/drawing/2012/chart" uri="{CE6537A1-D6FC-4f65-9D91-7224C49458BB}"/>
          </c:extLst>
        </c:dLbl>
      </c:pivotFmt>
      <c:pivotFmt>
        <c:idx val="64"/>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65"/>
        <c:spPr>
          <a:solidFill>
            <a:schemeClr val="accent6"/>
          </a:solidFill>
          <a:ln>
            <a:noFill/>
          </a:ln>
          <a:effectLst/>
        </c:spPr>
        <c:marker>
          <c:symbol val="none"/>
        </c:marker>
        <c:dLbl>
          <c:idx val="0"/>
          <c:delete val="1"/>
          <c:extLst>
            <c:ext xmlns:c15="http://schemas.microsoft.com/office/drawing/2012/chart" uri="{CE6537A1-D6FC-4f65-9D91-7224C49458BB}"/>
          </c:extLst>
        </c:dLbl>
      </c:pivotFmt>
      <c:pivotFmt>
        <c:idx val="66"/>
        <c:spPr>
          <a:solidFill>
            <a:schemeClr val="accent1">
              <a:lumMod val="60000"/>
            </a:schemeClr>
          </a:solidFill>
          <a:ln>
            <a:noFill/>
          </a:ln>
          <a:effectLst/>
        </c:spPr>
        <c:marker>
          <c:symbol val="none"/>
        </c:marker>
        <c:dLbl>
          <c:idx val="0"/>
          <c:delete val="1"/>
          <c:extLst>
            <c:ext xmlns:c15="http://schemas.microsoft.com/office/drawing/2012/chart" uri="{CE6537A1-D6FC-4f65-9D91-7224C49458BB}"/>
          </c:extLst>
        </c:dLbl>
      </c:pivotFmt>
      <c:pivotFmt>
        <c:idx val="67"/>
        <c:spPr>
          <a:solidFill>
            <a:schemeClr val="accent2">
              <a:lumMod val="60000"/>
            </a:schemeClr>
          </a:solidFill>
          <a:ln>
            <a:noFill/>
          </a:ln>
          <a:effectLst/>
        </c:spPr>
        <c:marker>
          <c:symbol val="none"/>
        </c:marker>
        <c:dLbl>
          <c:idx val="0"/>
          <c:delete val="1"/>
          <c:extLst>
            <c:ext xmlns:c15="http://schemas.microsoft.com/office/drawing/2012/chart" uri="{CE6537A1-D6FC-4f65-9D91-7224C49458BB}"/>
          </c:extLst>
        </c:dLbl>
      </c:pivotFmt>
      <c:pivotFmt>
        <c:idx val="68"/>
        <c:spPr>
          <a:solidFill>
            <a:schemeClr val="accent3">
              <a:lumMod val="60000"/>
            </a:schemeClr>
          </a:solidFill>
          <a:ln>
            <a:noFill/>
          </a:ln>
          <a:effectLst/>
        </c:spPr>
        <c:marker>
          <c:symbol val="none"/>
        </c:marker>
        <c:dLbl>
          <c:idx val="0"/>
          <c:delete val="1"/>
          <c:extLst>
            <c:ext xmlns:c15="http://schemas.microsoft.com/office/drawing/2012/chart" uri="{CE6537A1-D6FC-4f65-9D91-7224C49458BB}"/>
          </c:extLst>
        </c:dLbl>
      </c:pivotFmt>
      <c:pivotFmt>
        <c:idx val="69"/>
        <c:spPr>
          <a:solidFill>
            <a:schemeClr val="accent4">
              <a:lumMod val="60000"/>
            </a:schemeClr>
          </a:solidFill>
          <a:ln>
            <a:noFill/>
          </a:ln>
          <a:effectLst/>
        </c:spPr>
        <c:marker>
          <c:symbol val="none"/>
        </c:marker>
        <c:dLbl>
          <c:idx val="0"/>
          <c:delete val="1"/>
          <c:extLst>
            <c:ext xmlns:c15="http://schemas.microsoft.com/office/drawing/2012/chart" uri="{CE6537A1-D6FC-4f65-9D91-7224C49458BB}"/>
          </c:extLst>
        </c:dLbl>
      </c:pivotFmt>
      <c:pivotFmt>
        <c:idx val="70"/>
        <c:spPr>
          <a:solidFill>
            <a:schemeClr val="accent5">
              <a:lumMod val="60000"/>
            </a:schemeClr>
          </a:solidFill>
          <a:ln>
            <a:noFill/>
          </a:ln>
          <a:effectLst/>
        </c:spPr>
        <c:marker>
          <c:symbol val="none"/>
        </c:marker>
        <c:dLbl>
          <c:idx val="0"/>
          <c:delete val="1"/>
          <c:extLst>
            <c:ext xmlns:c15="http://schemas.microsoft.com/office/drawing/2012/chart" uri="{CE6537A1-D6FC-4f65-9D91-7224C49458BB}"/>
          </c:extLst>
        </c:dLbl>
      </c:pivotFmt>
      <c:pivotFmt>
        <c:idx val="71"/>
        <c:spPr>
          <a:solidFill>
            <a:schemeClr val="accent6">
              <a:lumMod val="60000"/>
            </a:schemeClr>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'Decay Indicators'!$B$14</c:f>
              <c:strCache>
                <c:ptCount val="1"/>
                <c:pt idx="0">
                  <c:v>Rtn spy</c:v>
                </c:pt>
              </c:strCache>
            </c:strRef>
          </c:tx>
          <c:spPr>
            <a:solidFill>
              <a:schemeClr val="accent1"/>
            </a:solidFill>
            <a:ln>
              <a:noFill/>
            </a:ln>
            <a:effectLst/>
          </c:spPr>
          <c:invertIfNegative val="0"/>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Indicators'!$B$15:$B$28</c:f>
              <c:numCache>
                <c:formatCode>General</c:formatCode>
                <c:ptCount val="13"/>
                <c:pt idx="0">
                  <c:v>67</c:v>
                </c:pt>
                <c:pt idx="1">
                  <c:v>67</c:v>
                </c:pt>
                <c:pt idx="2">
                  <c:v>67</c:v>
                </c:pt>
                <c:pt idx="3">
                  <c:v>66</c:v>
                </c:pt>
                <c:pt idx="4">
                  <c:v>65</c:v>
                </c:pt>
                <c:pt idx="5">
                  <c:v>65</c:v>
                </c:pt>
                <c:pt idx="6">
                  <c:v>65</c:v>
                </c:pt>
                <c:pt idx="7">
                  <c:v>65</c:v>
                </c:pt>
                <c:pt idx="8">
                  <c:v>64</c:v>
                </c:pt>
                <c:pt idx="9">
                  <c:v>63</c:v>
                </c:pt>
                <c:pt idx="10">
                  <c:v>62</c:v>
                </c:pt>
                <c:pt idx="11">
                  <c:v>62</c:v>
                </c:pt>
                <c:pt idx="12">
                  <c:v>62</c:v>
                </c:pt>
              </c:numCache>
            </c:numRef>
          </c:val>
          <c:extLst>
            <c:ext xmlns:c16="http://schemas.microsoft.com/office/drawing/2014/chart" uri="{C3380CC4-5D6E-409C-BE32-E72D297353CC}">
              <c16:uniqueId val="{00000025-1176-4613-8531-854DDC28AA44}"/>
            </c:ext>
          </c:extLst>
        </c:ser>
        <c:ser>
          <c:idx val="1"/>
          <c:order val="1"/>
          <c:tx>
            <c:strRef>
              <c:f>'Decay Indicators'!$C$14</c:f>
              <c:strCache>
                <c:ptCount val="1"/>
                <c:pt idx="0">
                  <c:v>Rtn agg</c:v>
                </c:pt>
              </c:strCache>
            </c:strRef>
          </c:tx>
          <c:spPr>
            <a:solidFill>
              <a:schemeClr val="accent2"/>
            </a:solidFill>
            <a:ln>
              <a:noFill/>
            </a:ln>
            <a:effectLst/>
          </c:spPr>
          <c:invertIfNegative val="0"/>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Indicators'!$C$15:$C$28</c:f>
              <c:numCache>
                <c:formatCode>General</c:formatCode>
                <c:ptCount val="13"/>
                <c:pt idx="0">
                  <c:v>60</c:v>
                </c:pt>
                <c:pt idx="1">
                  <c:v>60</c:v>
                </c:pt>
                <c:pt idx="2">
                  <c:v>59</c:v>
                </c:pt>
                <c:pt idx="3">
                  <c:v>58</c:v>
                </c:pt>
                <c:pt idx="4">
                  <c:v>58</c:v>
                </c:pt>
                <c:pt idx="5">
                  <c:v>58</c:v>
                </c:pt>
                <c:pt idx="6">
                  <c:v>57</c:v>
                </c:pt>
                <c:pt idx="7">
                  <c:v>57</c:v>
                </c:pt>
                <c:pt idx="8">
                  <c:v>56</c:v>
                </c:pt>
                <c:pt idx="9">
                  <c:v>56</c:v>
                </c:pt>
                <c:pt idx="10">
                  <c:v>55</c:v>
                </c:pt>
                <c:pt idx="11">
                  <c:v>55</c:v>
                </c:pt>
                <c:pt idx="12">
                  <c:v>54</c:v>
                </c:pt>
              </c:numCache>
            </c:numRef>
          </c:val>
          <c:extLst>
            <c:ext xmlns:c16="http://schemas.microsoft.com/office/drawing/2014/chart" uri="{C3380CC4-5D6E-409C-BE32-E72D297353CC}">
              <c16:uniqueId val="{00000027-1176-4613-8531-854DDC28AA44}"/>
            </c:ext>
          </c:extLst>
        </c:ser>
        <c:ser>
          <c:idx val="2"/>
          <c:order val="2"/>
          <c:tx>
            <c:strRef>
              <c:f>'Decay Indicators'!$D$14</c:f>
              <c:strCache>
                <c:ptCount val="1"/>
                <c:pt idx="0">
                  <c:v>Rtn xop</c:v>
                </c:pt>
              </c:strCache>
            </c:strRef>
          </c:tx>
          <c:spPr>
            <a:solidFill>
              <a:schemeClr val="accent3"/>
            </a:solidFill>
            <a:ln>
              <a:noFill/>
            </a:ln>
            <a:effectLst/>
          </c:spPr>
          <c:invertIfNegative val="0"/>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Indicators'!$D$15:$D$28</c:f>
              <c:numCache>
                <c:formatCode>General</c:formatCode>
                <c:ptCount val="13"/>
                <c:pt idx="0">
                  <c:v>48</c:v>
                </c:pt>
                <c:pt idx="1">
                  <c:v>49</c:v>
                </c:pt>
                <c:pt idx="2">
                  <c:v>49</c:v>
                </c:pt>
                <c:pt idx="3">
                  <c:v>48</c:v>
                </c:pt>
                <c:pt idx="4">
                  <c:v>48</c:v>
                </c:pt>
                <c:pt idx="5">
                  <c:v>48</c:v>
                </c:pt>
                <c:pt idx="6">
                  <c:v>48</c:v>
                </c:pt>
                <c:pt idx="7">
                  <c:v>47</c:v>
                </c:pt>
                <c:pt idx="8">
                  <c:v>47</c:v>
                </c:pt>
                <c:pt idx="9">
                  <c:v>46</c:v>
                </c:pt>
                <c:pt idx="10">
                  <c:v>45</c:v>
                </c:pt>
                <c:pt idx="11">
                  <c:v>45</c:v>
                </c:pt>
                <c:pt idx="12">
                  <c:v>45</c:v>
                </c:pt>
              </c:numCache>
            </c:numRef>
          </c:val>
          <c:extLst>
            <c:ext xmlns:c16="http://schemas.microsoft.com/office/drawing/2014/chart" uri="{C3380CC4-5D6E-409C-BE32-E72D297353CC}">
              <c16:uniqueId val="{00000029-1176-4613-8531-854DDC28AA44}"/>
            </c:ext>
          </c:extLst>
        </c:ser>
        <c:ser>
          <c:idx val="3"/>
          <c:order val="3"/>
          <c:tx>
            <c:strRef>
              <c:f>'Decay Indicators'!$E$14</c:f>
              <c:strCache>
                <c:ptCount val="1"/>
                <c:pt idx="0">
                  <c:v>Rtn xme</c:v>
                </c:pt>
              </c:strCache>
            </c:strRef>
          </c:tx>
          <c:spPr>
            <a:solidFill>
              <a:schemeClr val="accent4"/>
            </a:solidFill>
            <a:ln>
              <a:noFill/>
            </a:ln>
            <a:effectLst/>
          </c:spPr>
          <c:invertIfNegative val="0"/>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Indicators'!$E$15:$E$28</c:f>
              <c:numCache>
                <c:formatCode>General</c:formatCode>
                <c:ptCount val="13"/>
                <c:pt idx="0">
                  <c:v>49</c:v>
                </c:pt>
                <c:pt idx="1">
                  <c:v>50</c:v>
                </c:pt>
                <c:pt idx="2">
                  <c:v>49</c:v>
                </c:pt>
                <c:pt idx="3">
                  <c:v>49</c:v>
                </c:pt>
                <c:pt idx="4">
                  <c:v>49</c:v>
                </c:pt>
                <c:pt idx="5">
                  <c:v>49</c:v>
                </c:pt>
                <c:pt idx="6">
                  <c:v>49</c:v>
                </c:pt>
                <c:pt idx="7">
                  <c:v>49</c:v>
                </c:pt>
                <c:pt idx="8">
                  <c:v>49</c:v>
                </c:pt>
                <c:pt idx="9">
                  <c:v>48</c:v>
                </c:pt>
                <c:pt idx="10">
                  <c:v>47</c:v>
                </c:pt>
                <c:pt idx="11">
                  <c:v>47</c:v>
                </c:pt>
                <c:pt idx="12">
                  <c:v>47</c:v>
                </c:pt>
              </c:numCache>
            </c:numRef>
          </c:val>
          <c:extLst>
            <c:ext xmlns:c16="http://schemas.microsoft.com/office/drawing/2014/chart" uri="{C3380CC4-5D6E-409C-BE32-E72D297353CC}">
              <c16:uniqueId val="{0000002B-1176-4613-8531-854DDC28AA44}"/>
            </c:ext>
          </c:extLst>
        </c:ser>
        <c:ser>
          <c:idx val="4"/>
          <c:order val="4"/>
          <c:tx>
            <c:strRef>
              <c:f>'Decay Indicators'!$F$14</c:f>
              <c:strCache>
                <c:ptCount val="1"/>
                <c:pt idx="0">
                  <c:v>Rtn xhb</c:v>
                </c:pt>
              </c:strCache>
            </c:strRef>
          </c:tx>
          <c:spPr>
            <a:solidFill>
              <a:schemeClr val="accent5"/>
            </a:solidFill>
            <a:ln>
              <a:noFill/>
            </a:ln>
            <a:effectLst/>
          </c:spPr>
          <c:invertIfNegative val="0"/>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Indicators'!$F$15:$F$28</c:f>
              <c:numCache>
                <c:formatCode>General</c:formatCode>
                <c:ptCount val="13"/>
                <c:pt idx="0">
                  <c:v>63</c:v>
                </c:pt>
                <c:pt idx="1">
                  <c:v>63</c:v>
                </c:pt>
                <c:pt idx="2">
                  <c:v>62</c:v>
                </c:pt>
                <c:pt idx="3">
                  <c:v>62</c:v>
                </c:pt>
                <c:pt idx="4">
                  <c:v>61</c:v>
                </c:pt>
                <c:pt idx="5">
                  <c:v>60</c:v>
                </c:pt>
                <c:pt idx="6">
                  <c:v>60</c:v>
                </c:pt>
                <c:pt idx="7">
                  <c:v>60</c:v>
                </c:pt>
                <c:pt idx="8">
                  <c:v>60</c:v>
                </c:pt>
                <c:pt idx="9">
                  <c:v>59</c:v>
                </c:pt>
                <c:pt idx="10">
                  <c:v>58</c:v>
                </c:pt>
                <c:pt idx="11">
                  <c:v>58</c:v>
                </c:pt>
                <c:pt idx="12">
                  <c:v>58</c:v>
                </c:pt>
              </c:numCache>
            </c:numRef>
          </c:val>
          <c:extLst>
            <c:ext xmlns:c16="http://schemas.microsoft.com/office/drawing/2014/chart" uri="{C3380CC4-5D6E-409C-BE32-E72D297353CC}">
              <c16:uniqueId val="{0000002D-1176-4613-8531-854DDC28AA44}"/>
            </c:ext>
          </c:extLst>
        </c:ser>
        <c:ser>
          <c:idx val="5"/>
          <c:order val="5"/>
          <c:tx>
            <c:strRef>
              <c:f>'Decay Indicators'!$G$14</c:f>
              <c:strCache>
                <c:ptCount val="1"/>
                <c:pt idx="0">
                  <c:v>Rtn gld</c:v>
                </c:pt>
              </c:strCache>
            </c:strRef>
          </c:tx>
          <c:spPr>
            <a:solidFill>
              <a:schemeClr val="accent6"/>
            </a:solidFill>
            <a:ln>
              <a:noFill/>
            </a:ln>
            <a:effectLst/>
          </c:spPr>
          <c:invertIfNegative val="0"/>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Indicators'!$G$15:$G$28</c:f>
              <c:numCache>
                <c:formatCode>General</c:formatCode>
                <c:ptCount val="13"/>
                <c:pt idx="0">
                  <c:v>44</c:v>
                </c:pt>
                <c:pt idx="1">
                  <c:v>44</c:v>
                </c:pt>
                <c:pt idx="2">
                  <c:v>44</c:v>
                </c:pt>
                <c:pt idx="3">
                  <c:v>44</c:v>
                </c:pt>
                <c:pt idx="4">
                  <c:v>44</c:v>
                </c:pt>
                <c:pt idx="5">
                  <c:v>44</c:v>
                </c:pt>
                <c:pt idx="6">
                  <c:v>44</c:v>
                </c:pt>
                <c:pt idx="7">
                  <c:v>44</c:v>
                </c:pt>
                <c:pt idx="8">
                  <c:v>43</c:v>
                </c:pt>
                <c:pt idx="9">
                  <c:v>42</c:v>
                </c:pt>
                <c:pt idx="10">
                  <c:v>42</c:v>
                </c:pt>
                <c:pt idx="11">
                  <c:v>42</c:v>
                </c:pt>
                <c:pt idx="12">
                  <c:v>42</c:v>
                </c:pt>
              </c:numCache>
            </c:numRef>
          </c:val>
          <c:extLst>
            <c:ext xmlns:c16="http://schemas.microsoft.com/office/drawing/2014/chart" uri="{C3380CC4-5D6E-409C-BE32-E72D297353CC}">
              <c16:uniqueId val="{0000002F-1176-4613-8531-854DDC28AA44}"/>
            </c:ext>
          </c:extLst>
        </c:ser>
        <c:ser>
          <c:idx val="6"/>
          <c:order val="6"/>
          <c:tx>
            <c:strRef>
              <c:f>'Decay Indicators'!$H$14</c:f>
              <c:strCache>
                <c:ptCount val="1"/>
                <c:pt idx="0">
                  <c:v>Rtn bil</c:v>
                </c:pt>
              </c:strCache>
            </c:strRef>
          </c:tx>
          <c:spPr>
            <a:solidFill>
              <a:schemeClr val="accent1">
                <a:lumMod val="60000"/>
              </a:schemeClr>
            </a:solidFill>
            <a:ln>
              <a:noFill/>
            </a:ln>
            <a:effectLst/>
          </c:spPr>
          <c:invertIfNegative val="0"/>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Indicators'!$H$15:$H$28</c:f>
              <c:numCache>
                <c:formatCode>General</c:formatCode>
                <c:ptCount val="13"/>
                <c:pt idx="0">
                  <c:v>62</c:v>
                </c:pt>
                <c:pt idx="1">
                  <c:v>63</c:v>
                </c:pt>
                <c:pt idx="2">
                  <c:v>63</c:v>
                </c:pt>
                <c:pt idx="3">
                  <c:v>62</c:v>
                </c:pt>
                <c:pt idx="4">
                  <c:v>62</c:v>
                </c:pt>
                <c:pt idx="5">
                  <c:v>62</c:v>
                </c:pt>
                <c:pt idx="6">
                  <c:v>62</c:v>
                </c:pt>
                <c:pt idx="7">
                  <c:v>62</c:v>
                </c:pt>
                <c:pt idx="8">
                  <c:v>62</c:v>
                </c:pt>
                <c:pt idx="9">
                  <c:v>62</c:v>
                </c:pt>
                <c:pt idx="10">
                  <c:v>62</c:v>
                </c:pt>
                <c:pt idx="11">
                  <c:v>61</c:v>
                </c:pt>
                <c:pt idx="12">
                  <c:v>61</c:v>
                </c:pt>
              </c:numCache>
            </c:numRef>
          </c:val>
          <c:extLst>
            <c:ext xmlns:c16="http://schemas.microsoft.com/office/drawing/2014/chart" uri="{C3380CC4-5D6E-409C-BE32-E72D297353CC}">
              <c16:uniqueId val="{00000031-1176-4613-8531-854DDC28AA44}"/>
            </c:ext>
          </c:extLst>
        </c:ser>
        <c:ser>
          <c:idx val="7"/>
          <c:order val="7"/>
          <c:tx>
            <c:strRef>
              <c:f>'Decay Indicators'!$I$14</c:f>
              <c:strCache>
                <c:ptCount val="1"/>
                <c:pt idx="0">
                  <c:v>Rtn tip</c:v>
                </c:pt>
              </c:strCache>
            </c:strRef>
          </c:tx>
          <c:spPr>
            <a:solidFill>
              <a:schemeClr val="accent2">
                <a:lumMod val="60000"/>
              </a:schemeClr>
            </a:solidFill>
            <a:ln>
              <a:noFill/>
            </a:ln>
            <a:effectLst/>
          </c:spPr>
          <c:invertIfNegative val="0"/>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Indicators'!$I$15:$I$28</c:f>
              <c:numCache>
                <c:formatCode>General</c:formatCode>
                <c:ptCount val="13"/>
                <c:pt idx="0">
                  <c:v>58</c:v>
                </c:pt>
                <c:pt idx="1">
                  <c:v>58</c:v>
                </c:pt>
                <c:pt idx="2">
                  <c:v>58</c:v>
                </c:pt>
                <c:pt idx="3">
                  <c:v>58</c:v>
                </c:pt>
                <c:pt idx="4">
                  <c:v>58</c:v>
                </c:pt>
                <c:pt idx="5">
                  <c:v>57</c:v>
                </c:pt>
                <c:pt idx="6">
                  <c:v>56</c:v>
                </c:pt>
                <c:pt idx="7">
                  <c:v>56</c:v>
                </c:pt>
                <c:pt idx="8">
                  <c:v>56</c:v>
                </c:pt>
                <c:pt idx="9">
                  <c:v>56</c:v>
                </c:pt>
                <c:pt idx="10">
                  <c:v>55</c:v>
                </c:pt>
                <c:pt idx="11">
                  <c:v>54</c:v>
                </c:pt>
                <c:pt idx="12">
                  <c:v>53</c:v>
                </c:pt>
              </c:numCache>
            </c:numRef>
          </c:val>
          <c:extLst>
            <c:ext xmlns:c16="http://schemas.microsoft.com/office/drawing/2014/chart" uri="{C3380CC4-5D6E-409C-BE32-E72D297353CC}">
              <c16:uniqueId val="{00000033-1176-4613-8531-854DDC28AA44}"/>
            </c:ext>
          </c:extLst>
        </c:ser>
        <c:ser>
          <c:idx val="8"/>
          <c:order val="8"/>
          <c:tx>
            <c:strRef>
              <c:f>'Decay Indicators'!$J$14</c:f>
              <c:strCache>
                <c:ptCount val="1"/>
                <c:pt idx="0">
                  <c:v>Rtn spts</c:v>
                </c:pt>
              </c:strCache>
            </c:strRef>
          </c:tx>
          <c:spPr>
            <a:solidFill>
              <a:schemeClr val="accent3">
                <a:lumMod val="60000"/>
              </a:schemeClr>
            </a:solidFill>
            <a:ln>
              <a:noFill/>
            </a:ln>
            <a:effectLst/>
          </c:spPr>
          <c:invertIfNegative val="0"/>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Indicators'!$J$15:$J$28</c:f>
              <c:numCache>
                <c:formatCode>General</c:formatCode>
                <c:ptCount val="13"/>
                <c:pt idx="0">
                  <c:v>52</c:v>
                </c:pt>
                <c:pt idx="1">
                  <c:v>52</c:v>
                </c:pt>
                <c:pt idx="2">
                  <c:v>52</c:v>
                </c:pt>
                <c:pt idx="3">
                  <c:v>52</c:v>
                </c:pt>
                <c:pt idx="4">
                  <c:v>52</c:v>
                </c:pt>
                <c:pt idx="5">
                  <c:v>51</c:v>
                </c:pt>
                <c:pt idx="6">
                  <c:v>51</c:v>
                </c:pt>
                <c:pt idx="7">
                  <c:v>51</c:v>
                </c:pt>
                <c:pt idx="8">
                  <c:v>50</c:v>
                </c:pt>
                <c:pt idx="9">
                  <c:v>50</c:v>
                </c:pt>
                <c:pt idx="10">
                  <c:v>50</c:v>
                </c:pt>
                <c:pt idx="11">
                  <c:v>50</c:v>
                </c:pt>
                <c:pt idx="12">
                  <c:v>49</c:v>
                </c:pt>
              </c:numCache>
            </c:numRef>
          </c:val>
          <c:extLst>
            <c:ext xmlns:c16="http://schemas.microsoft.com/office/drawing/2014/chart" uri="{C3380CC4-5D6E-409C-BE32-E72D297353CC}">
              <c16:uniqueId val="{00000035-1176-4613-8531-854DDC28AA44}"/>
            </c:ext>
          </c:extLst>
        </c:ser>
        <c:ser>
          <c:idx val="9"/>
          <c:order val="9"/>
          <c:tx>
            <c:strRef>
              <c:f>'Decay Indicators'!$K$14</c:f>
              <c:strCache>
                <c:ptCount val="1"/>
                <c:pt idx="0">
                  <c:v>Rtn spti</c:v>
                </c:pt>
              </c:strCache>
            </c:strRef>
          </c:tx>
          <c:spPr>
            <a:solidFill>
              <a:schemeClr val="accent4">
                <a:lumMod val="60000"/>
              </a:schemeClr>
            </a:solidFill>
            <a:ln>
              <a:noFill/>
            </a:ln>
            <a:effectLst/>
          </c:spPr>
          <c:invertIfNegative val="0"/>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Indicators'!$K$15:$K$28</c:f>
              <c:numCache>
                <c:formatCode>General</c:formatCode>
                <c:ptCount val="13"/>
                <c:pt idx="0">
                  <c:v>56</c:v>
                </c:pt>
                <c:pt idx="1">
                  <c:v>56</c:v>
                </c:pt>
                <c:pt idx="2">
                  <c:v>55</c:v>
                </c:pt>
                <c:pt idx="3">
                  <c:v>55</c:v>
                </c:pt>
                <c:pt idx="4">
                  <c:v>55</c:v>
                </c:pt>
                <c:pt idx="5">
                  <c:v>54</c:v>
                </c:pt>
                <c:pt idx="6">
                  <c:v>53</c:v>
                </c:pt>
                <c:pt idx="7">
                  <c:v>53</c:v>
                </c:pt>
                <c:pt idx="8">
                  <c:v>53</c:v>
                </c:pt>
                <c:pt idx="9">
                  <c:v>52</c:v>
                </c:pt>
                <c:pt idx="10">
                  <c:v>51</c:v>
                </c:pt>
                <c:pt idx="11">
                  <c:v>51</c:v>
                </c:pt>
                <c:pt idx="12">
                  <c:v>51</c:v>
                </c:pt>
              </c:numCache>
            </c:numRef>
          </c:val>
          <c:extLst>
            <c:ext xmlns:c16="http://schemas.microsoft.com/office/drawing/2014/chart" uri="{C3380CC4-5D6E-409C-BE32-E72D297353CC}">
              <c16:uniqueId val="{00000037-1176-4613-8531-854DDC28AA44}"/>
            </c:ext>
          </c:extLst>
        </c:ser>
        <c:ser>
          <c:idx val="10"/>
          <c:order val="10"/>
          <c:tx>
            <c:strRef>
              <c:f>'Decay Indicators'!$L$14</c:f>
              <c:strCache>
                <c:ptCount val="1"/>
                <c:pt idx="0">
                  <c:v>Rtn naivevol</c:v>
                </c:pt>
              </c:strCache>
            </c:strRef>
          </c:tx>
          <c:spPr>
            <a:solidFill>
              <a:schemeClr val="accent5">
                <a:lumMod val="60000"/>
              </a:schemeClr>
            </a:solidFill>
            <a:ln>
              <a:noFill/>
            </a:ln>
            <a:effectLst/>
          </c:spPr>
          <c:invertIfNegative val="0"/>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Indicators'!$L$15:$L$28</c:f>
              <c:numCache>
                <c:formatCode>General</c:formatCode>
                <c:ptCount val="13"/>
                <c:pt idx="0">
                  <c:v>56</c:v>
                </c:pt>
                <c:pt idx="1">
                  <c:v>56</c:v>
                </c:pt>
                <c:pt idx="2">
                  <c:v>56</c:v>
                </c:pt>
                <c:pt idx="3">
                  <c:v>55</c:v>
                </c:pt>
                <c:pt idx="4">
                  <c:v>54</c:v>
                </c:pt>
                <c:pt idx="5">
                  <c:v>54</c:v>
                </c:pt>
                <c:pt idx="6">
                  <c:v>54</c:v>
                </c:pt>
                <c:pt idx="7">
                  <c:v>53</c:v>
                </c:pt>
                <c:pt idx="8">
                  <c:v>53</c:v>
                </c:pt>
                <c:pt idx="9">
                  <c:v>52</c:v>
                </c:pt>
                <c:pt idx="10">
                  <c:v>51</c:v>
                </c:pt>
                <c:pt idx="11">
                  <c:v>51</c:v>
                </c:pt>
                <c:pt idx="12">
                  <c:v>51</c:v>
                </c:pt>
              </c:numCache>
            </c:numRef>
          </c:val>
          <c:extLst>
            <c:ext xmlns:c16="http://schemas.microsoft.com/office/drawing/2014/chart" uri="{C3380CC4-5D6E-409C-BE32-E72D297353CC}">
              <c16:uniqueId val="{00000039-1176-4613-8531-854DDC28AA44}"/>
            </c:ext>
          </c:extLst>
        </c:ser>
        <c:ser>
          <c:idx val="11"/>
          <c:order val="11"/>
          <c:tx>
            <c:strRef>
              <c:f>'Decay Indicators'!$M$14</c:f>
              <c:strCache>
                <c:ptCount val="1"/>
                <c:pt idx="0">
                  <c:v>Rtn 6040</c:v>
                </c:pt>
              </c:strCache>
            </c:strRef>
          </c:tx>
          <c:spPr>
            <a:solidFill>
              <a:schemeClr val="accent6">
                <a:lumMod val="60000"/>
              </a:schemeClr>
            </a:solidFill>
            <a:ln>
              <a:noFill/>
            </a:ln>
            <a:effectLst/>
          </c:spPr>
          <c:invertIfNegative val="0"/>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Indicators'!$M$15:$M$28</c:f>
              <c:numCache>
                <c:formatCode>General</c:formatCode>
                <c:ptCount val="13"/>
                <c:pt idx="0">
                  <c:v>67</c:v>
                </c:pt>
                <c:pt idx="1">
                  <c:v>67</c:v>
                </c:pt>
                <c:pt idx="2">
                  <c:v>67</c:v>
                </c:pt>
                <c:pt idx="3">
                  <c:v>66</c:v>
                </c:pt>
                <c:pt idx="4">
                  <c:v>65</c:v>
                </c:pt>
                <c:pt idx="5">
                  <c:v>65</c:v>
                </c:pt>
                <c:pt idx="6">
                  <c:v>65</c:v>
                </c:pt>
                <c:pt idx="7">
                  <c:v>65</c:v>
                </c:pt>
                <c:pt idx="8">
                  <c:v>64</c:v>
                </c:pt>
                <c:pt idx="9">
                  <c:v>63</c:v>
                </c:pt>
                <c:pt idx="10">
                  <c:v>62</c:v>
                </c:pt>
                <c:pt idx="11">
                  <c:v>62</c:v>
                </c:pt>
                <c:pt idx="12">
                  <c:v>62</c:v>
                </c:pt>
              </c:numCache>
            </c:numRef>
          </c:val>
          <c:extLst>
            <c:ext xmlns:c16="http://schemas.microsoft.com/office/drawing/2014/chart" uri="{C3380CC4-5D6E-409C-BE32-E72D297353CC}">
              <c16:uniqueId val="{0000003B-1176-4613-8531-854DDC28AA44}"/>
            </c:ext>
          </c:extLst>
        </c:ser>
        <c:dLbls>
          <c:showLegendKey val="0"/>
          <c:showVal val="0"/>
          <c:showCatName val="0"/>
          <c:showSerName val="0"/>
          <c:showPercent val="0"/>
          <c:showBubbleSize val="0"/>
        </c:dLbls>
        <c:gapWidth val="219"/>
        <c:overlap val="-27"/>
        <c:axId val="1116290048"/>
        <c:axId val="829445440"/>
      </c:barChart>
      <c:catAx>
        <c:axId val="1116290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445440"/>
        <c:crosses val="autoZero"/>
        <c:auto val="1"/>
        <c:lblAlgn val="ctr"/>
        <c:lblOffset val="100"/>
        <c:noMultiLvlLbl val="0"/>
      </c:catAx>
      <c:valAx>
        <c:axId val="829445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6290048"/>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[StrategyStats.xlsm]Decay Indicators!PivotTable2</c:name>
    <c:fmtId val="5"/>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62"/>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63"/>
        <c:spPr>
          <a:solidFill>
            <a:schemeClr val="accent4"/>
          </a:solidFill>
          <a:ln>
            <a:noFill/>
          </a:ln>
          <a:effectLst/>
        </c:spPr>
        <c:marker>
          <c:symbol val="none"/>
        </c:marker>
        <c:dLbl>
          <c:idx val="0"/>
          <c:delete val="1"/>
          <c:extLst>
            <c:ext xmlns:c15="http://schemas.microsoft.com/office/drawing/2012/chart" uri="{CE6537A1-D6FC-4f65-9D91-7224C49458BB}"/>
          </c:extLst>
        </c:dLbl>
      </c:pivotFmt>
      <c:pivotFmt>
        <c:idx val="64"/>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65"/>
        <c:spPr>
          <a:solidFill>
            <a:schemeClr val="accent6"/>
          </a:solidFill>
          <a:ln>
            <a:noFill/>
          </a:ln>
          <a:effectLst/>
        </c:spPr>
        <c:marker>
          <c:symbol val="none"/>
        </c:marker>
        <c:dLbl>
          <c:idx val="0"/>
          <c:delete val="1"/>
          <c:extLst>
            <c:ext xmlns:c15="http://schemas.microsoft.com/office/drawing/2012/chart" uri="{CE6537A1-D6FC-4f65-9D91-7224C49458BB}"/>
          </c:extLst>
        </c:dLbl>
      </c:pivotFmt>
      <c:pivotFmt>
        <c:idx val="66"/>
        <c:spPr>
          <a:solidFill>
            <a:schemeClr val="accent1">
              <a:lumMod val="60000"/>
            </a:schemeClr>
          </a:solidFill>
          <a:ln>
            <a:noFill/>
          </a:ln>
          <a:effectLst/>
        </c:spPr>
        <c:marker>
          <c:symbol val="none"/>
        </c:marker>
        <c:dLbl>
          <c:idx val="0"/>
          <c:delete val="1"/>
          <c:extLst>
            <c:ext xmlns:c15="http://schemas.microsoft.com/office/drawing/2012/chart" uri="{CE6537A1-D6FC-4f65-9D91-7224C49458BB}"/>
          </c:extLst>
        </c:dLbl>
      </c:pivotFmt>
      <c:pivotFmt>
        <c:idx val="67"/>
        <c:spPr>
          <a:solidFill>
            <a:schemeClr val="accent2">
              <a:lumMod val="60000"/>
            </a:schemeClr>
          </a:solidFill>
          <a:ln>
            <a:noFill/>
          </a:ln>
          <a:effectLst/>
        </c:spPr>
        <c:marker>
          <c:symbol val="none"/>
        </c:marker>
        <c:dLbl>
          <c:idx val="0"/>
          <c:delete val="1"/>
          <c:extLst>
            <c:ext xmlns:c15="http://schemas.microsoft.com/office/drawing/2012/chart" uri="{CE6537A1-D6FC-4f65-9D91-7224C49458BB}"/>
          </c:extLst>
        </c:dLbl>
      </c:pivotFmt>
      <c:pivotFmt>
        <c:idx val="68"/>
        <c:spPr>
          <a:solidFill>
            <a:schemeClr val="accent3">
              <a:lumMod val="60000"/>
            </a:schemeClr>
          </a:solidFill>
          <a:ln>
            <a:noFill/>
          </a:ln>
          <a:effectLst/>
        </c:spPr>
        <c:marker>
          <c:symbol val="none"/>
        </c:marker>
        <c:dLbl>
          <c:idx val="0"/>
          <c:delete val="1"/>
          <c:extLst>
            <c:ext xmlns:c15="http://schemas.microsoft.com/office/drawing/2012/chart" uri="{CE6537A1-D6FC-4f65-9D91-7224C49458BB}"/>
          </c:extLst>
        </c:dLbl>
      </c:pivotFmt>
      <c:pivotFmt>
        <c:idx val="69"/>
        <c:spPr>
          <a:solidFill>
            <a:schemeClr val="accent4">
              <a:lumMod val="60000"/>
            </a:schemeClr>
          </a:solidFill>
          <a:ln>
            <a:noFill/>
          </a:ln>
          <a:effectLst/>
        </c:spPr>
        <c:marker>
          <c:symbol val="none"/>
        </c:marker>
        <c:dLbl>
          <c:idx val="0"/>
          <c:delete val="1"/>
          <c:extLst>
            <c:ext xmlns:c15="http://schemas.microsoft.com/office/drawing/2012/chart" uri="{CE6537A1-D6FC-4f65-9D91-7224C49458BB}"/>
          </c:extLst>
        </c:dLbl>
      </c:pivotFmt>
      <c:pivotFmt>
        <c:idx val="70"/>
        <c:spPr>
          <a:solidFill>
            <a:schemeClr val="accent5">
              <a:lumMod val="60000"/>
            </a:schemeClr>
          </a:solidFill>
          <a:ln>
            <a:noFill/>
          </a:ln>
          <a:effectLst/>
        </c:spPr>
        <c:marker>
          <c:symbol val="none"/>
        </c:marker>
        <c:dLbl>
          <c:idx val="0"/>
          <c:delete val="1"/>
          <c:extLst>
            <c:ext xmlns:c15="http://schemas.microsoft.com/office/drawing/2012/chart" uri="{CE6537A1-D6FC-4f65-9D91-7224C49458BB}"/>
          </c:extLst>
        </c:dLbl>
      </c:pivotFmt>
      <c:pivotFmt>
        <c:idx val="71"/>
        <c:spPr>
          <a:solidFill>
            <a:schemeClr val="accent6">
              <a:lumMod val="60000"/>
            </a:schemeClr>
          </a:solidFill>
          <a:ln>
            <a:noFill/>
          </a:ln>
          <a:effectLst/>
        </c:spPr>
        <c:marker>
          <c:symbol val="none"/>
        </c:marker>
        <c:dLbl>
          <c:idx val="0"/>
          <c:delete val="1"/>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3"/>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74"/>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75"/>
        <c:spPr>
          <a:solidFill>
            <a:schemeClr val="accent4"/>
          </a:solidFill>
          <a:ln>
            <a:noFill/>
          </a:ln>
          <a:effectLst/>
        </c:spPr>
        <c:marker>
          <c:symbol val="none"/>
        </c:marker>
        <c:dLbl>
          <c:idx val="0"/>
          <c:delete val="1"/>
          <c:extLst>
            <c:ext xmlns:c15="http://schemas.microsoft.com/office/drawing/2012/chart" uri="{CE6537A1-D6FC-4f65-9D91-7224C49458BB}"/>
          </c:extLst>
        </c:dLbl>
      </c:pivotFmt>
      <c:pivotFmt>
        <c:idx val="76"/>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77"/>
        <c:spPr>
          <a:solidFill>
            <a:schemeClr val="accent6"/>
          </a:solidFill>
          <a:ln>
            <a:noFill/>
          </a:ln>
          <a:effectLst/>
        </c:spPr>
        <c:marker>
          <c:symbol val="none"/>
        </c:marker>
        <c:dLbl>
          <c:idx val="0"/>
          <c:delete val="1"/>
          <c:extLst>
            <c:ext xmlns:c15="http://schemas.microsoft.com/office/drawing/2012/chart" uri="{CE6537A1-D6FC-4f65-9D91-7224C49458BB}"/>
          </c:extLst>
        </c:dLbl>
      </c:pivotFmt>
      <c:pivotFmt>
        <c:idx val="78"/>
        <c:spPr>
          <a:solidFill>
            <a:schemeClr val="accent1">
              <a:lumMod val="60000"/>
            </a:schemeClr>
          </a:solidFill>
          <a:ln>
            <a:noFill/>
          </a:ln>
          <a:effectLst/>
        </c:spPr>
        <c:marker>
          <c:symbol val="none"/>
        </c:marker>
        <c:dLbl>
          <c:idx val="0"/>
          <c:delete val="1"/>
          <c:extLst>
            <c:ext xmlns:c15="http://schemas.microsoft.com/office/drawing/2012/chart" uri="{CE6537A1-D6FC-4f65-9D91-7224C49458BB}"/>
          </c:extLst>
        </c:dLbl>
      </c:pivotFmt>
      <c:pivotFmt>
        <c:idx val="79"/>
        <c:spPr>
          <a:solidFill>
            <a:schemeClr val="accent2">
              <a:lumMod val="60000"/>
            </a:schemeClr>
          </a:solidFill>
          <a:ln>
            <a:noFill/>
          </a:ln>
          <a:effectLst/>
        </c:spPr>
        <c:marker>
          <c:symbol val="none"/>
        </c:marker>
        <c:dLbl>
          <c:idx val="0"/>
          <c:delete val="1"/>
          <c:extLst>
            <c:ext xmlns:c15="http://schemas.microsoft.com/office/drawing/2012/chart" uri="{CE6537A1-D6FC-4f65-9D91-7224C49458BB}"/>
          </c:extLst>
        </c:dLbl>
      </c:pivotFmt>
      <c:pivotFmt>
        <c:idx val="80"/>
        <c:spPr>
          <a:solidFill>
            <a:schemeClr val="accent3">
              <a:lumMod val="60000"/>
            </a:schemeClr>
          </a:solidFill>
          <a:ln>
            <a:noFill/>
          </a:ln>
          <a:effectLst/>
        </c:spPr>
        <c:marker>
          <c:symbol val="none"/>
        </c:marker>
        <c:dLbl>
          <c:idx val="0"/>
          <c:delete val="1"/>
          <c:extLst>
            <c:ext xmlns:c15="http://schemas.microsoft.com/office/drawing/2012/chart" uri="{CE6537A1-D6FC-4f65-9D91-7224C49458BB}"/>
          </c:extLst>
        </c:dLbl>
      </c:pivotFmt>
      <c:pivotFmt>
        <c:idx val="81"/>
        <c:spPr>
          <a:solidFill>
            <a:schemeClr val="accent4">
              <a:lumMod val="60000"/>
            </a:schemeClr>
          </a:solidFill>
          <a:ln>
            <a:noFill/>
          </a:ln>
          <a:effectLst/>
        </c:spPr>
        <c:marker>
          <c:symbol val="none"/>
        </c:marker>
        <c:dLbl>
          <c:idx val="0"/>
          <c:delete val="1"/>
          <c:extLst>
            <c:ext xmlns:c15="http://schemas.microsoft.com/office/drawing/2012/chart" uri="{CE6537A1-D6FC-4f65-9D91-7224C49458BB}"/>
          </c:extLst>
        </c:dLbl>
      </c:pivotFmt>
      <c:pivotFmt>
        <c:idx val="82"/>
        <c:spPr>
          <a:solidFill>
            <a:schemeClr val="accent5">
              <a:lumMod val="60000"/>
            </a:schemeClr>
          </a:solidFill>
          <a:ln>
            <a:noFill/>
          </a:ln>
          <a:effectLst/>
        </c:spPr>
        <c:marker>
          <c:symbol val="none"/>
        </c:marker>
        <c:dLbl>
          <c:idx val="0"/>
          <c:delete val="1"/>
          <c:extLst>
            <c:ext xmlns:c15="http://schemas.microsoft.com/office/drawing/2012/chart" uri="{CE6537A1-D6FC-4f65-9D91-7224C49458BB}"/>
          </c:extLst>
        </c:dLbl>
      </c:pivotFmt>
      <c:pivotFmt>
        <c:idx val="83"/>
        <c:spPr>
          <a:solidFill>
            <a:schemeClr val="accent6">
              <a:lumMod val="60000"/>
            </a:schemeClr>
          </a:solidFill>
          <a:ln>
            <a:noFill/>
          </a:ln>
          <a:effectLst/>
        </c:spPr>
        <c:marker>
          <c:symbol val="none"/>
        </c:marker>
        <c:dLbl>
          <c:idx val="0"/>
          <c:delete val="1"/>
          <c:extLst>
            <c:ext xmlns:c15="http://schemas.microsoft.com/office/drawing/2012/chart" uri="{CE6537A1-D6FC-4f65-9D91-7224C49458BB}"/>
          </c:extLst>
        </c:dLbl>
      </c:pivotFmt>
      <c:pivotFmt>
        <c:idx val="84"/>
        <c:spPr>
          <a:effectLst/>
        </c:spPr>
        <c:marker>
          <c:symbol val="none"/>
        </c:marker>
        <c:dLbl>
          <c:idx val="0"/>
          <c:delete val="1"/>
          <c:extLst>
            <c:ext xmlns:c15="http://schemas.microsoft.com/office/drawing/2012/chart" uri="{CE6537A1-D6FC-4f65-9D91-7224C49458BB}"/>
          </c:extLst>
        </c:dLbl>
      </c:pivotFmt>
      <c:pivotFmt>
        <c:idx val="85"/>
        <c:spPr>
          <a:effectLst/>
        </c:spPr>
        <c:marker>
          <c:symbol val="none"/>
        </c:marker>
        <c:dLbl>
          <c:idx val="0"/>
          <c:delete val="1"/>
          <c:extLst>
            <c:ext xmlns:c15="http://schemas.microsoft.com/office/drawing/2012/chart" uri="{CE6537A1-D6FC-4f65-9D91-7224C49458BB}"/>
          </c:extLst>
        </c:dLbl>
      </c:pivotFmt>
      <c:pivotFmt>
        <c:idx val="86"/>
        <c:spPr>
          <a:effectLst/>
        </c:spPr>
        <c:marker>
          <c:symbol val="none"/>
        </c:marker>
        <c:dLbl>
          <c:idx val="0"/>
          <c:delete val="1"/>
          <c:extLst>
            <c:ext xmlns:c15="http://schemas.microsoft.com/office/drawing/2012/chart" uri="{CE6537A1-D6FC-4f65-9D91-7224C49458BB}"/>
          </c:extLst>
        </c:dLbl>
      </c:pivotFmt>
      <c:pivotFmt>
        <c:idx val="87"/>
        <c:spPr>
          <a:effectLst/>
        </c:spPr>
        <c:marker>
          <c:symbol val="none"/>
        </c:marker>
        <c:dLbl>
          <c:idx val="0"/>
          <c:delete val="1"/>
          <c:extLst>
            <c:ext xmlns:c15="http://schemas.microsoft.com/office/drawing/2012/chart" uri="{CE6537A1-D6FC-4f65-9D91-7224C49458BB}"/>
          </c:extLst>
        </c:dLbl>
      </c:pivotFmt>
      <c:pivotFmt>
        <c:idx val="88"/>
        <c:spPr>
          <a:effectLst/>
        </c:spPr>
        <c:marker>
          <c:symbol val="none"/>
        </c:marker>
        <c:dLbl>
          <c:idx val="0"/>
          <c:delete val="1"/>
          <c:extLst>
            <c:ext xmlns:c15="http://schemas.microsoft.com/office/drawing/2012/chart" uri="{CE6537A1-D6FC-4f65-9D91-7224C49458BB}"/>
          </c:extLst>
        </c:dLbl>
      </c:pivotFmt>
      <c:pivotFmt>
        <c:idx val="89"/>
        <c:spPr>
          <a:effectLst/>
        </c:spPr>
        <c:marker>
          <c:symbol val="none"/>
        </c:marker>
        <c:dLbl>
          <c:idx val="0"/>
          <c:delete val="1"/>
          <c:extLst>
            <c:ext xmlns:c15="http://schemas.microsoft.com/office/drawing/2012/chart" uri="{CE6537A1-D6FC-4f65-9D91-7224C49458BB}"/>
          </c:extLst>
        </c:dLbl>
      </c:pivotFmt>
      <c:pivotFmt>
        <c:idx val="90"/>
        <c:spPr>
          <a:effectLst/>
        </c:spPr>
        <c:marker>
          <c:symbol val="none"/>
        </c:marker>
        <c:dLbl>
          <c:idx val="0"/>
          <c:delete val="1"/>
          <c:extLst>
            <c:ext xmlns:c15="http://schemas.microsoft.com/office/drawing/2012/chart" uri="{CE6537A1-D6FC-4f65-9D91-7224C49458BB}"/>
          </c:extLst>
        </c:dLbl>
      </c:pivotFmt>
      <c:pivotFmt>
        <c:idx val="91"/>
        <c:spPr>
          <a:effectLst/>
        </c:spPr>
        <c:marker>
          <c:symbol val="none"/>
        </c:marker>
        <c:dLbl>
          <c:idx val="0"/>
          <c:delete val="1"/>
          <c:extLst>
            <c:ext xmlns:c15="http://schemas.microsoft.com/office/drawing/2012/chart" uri="{CE6537A1-D6FC-4f65-9D91-7224C49458BB}"/>
          </c:extLst>
        </c:dLbl>
      </c:pivotFmt>
      <c:pivotFmt>
        <c:idx val="92"/>
        <c:spPr>
          <a:effectLst/>
        </c:spPr>
        <c:marker>
          <c:symbol val="none"/>
        </c:marker>
        <c:dLbl>
          <c:idx val="0"/>
          <c:delete val="1"/>
          <c:extLst>
            <c:ext xmlns:c15="http://schemas.microsoft.com/office/drawing/2012/chart" uri="{CE6537A1-D6FC-4f65-9D91-7224C49458BB}"/>
          </c:extLst>
        </c:dLbl>
      </c:pivotFmt>
      <c:pivotFmt>
        <c:idx val="93"/>
        <c:spPr>
          <a:effectLst/>
        </c:spPr>
        <c:marker>
          <c:symbol val="none"/>
        </c:marker>
        <c:dLbl>
          <c:idx val="0"/>
          <c:delete val="1"/>
          <c:extLst>
            <c:ext xmlns:c15="http://schemas.microsoft.com/office/drawing/2012/chart" uri="{CE6537A1-D6FC-4f65-9D91-7224C49458BB}"/>
          </c:extLst>
        </c:dLbl>
      </c:pivotFmt>
      <c:pivotFmt>
        <c:idx val="94"/>
        <c:spPr>
          <a:effectLst/>
        </c:spPr>
        <c:marker>
          <c:symbol val="none"/>
        </c:marker>
        <c:dLbl>
          <c:idx val="0"/>
          <c:delete val="1"/>
          <c:extLst>
            <c:ext xmlns:c15="http://schemas.microsoft.com/office/drawing/2012/chart" uri="{CE6537A1-D6FC-4f65-9D91-7224C49458BB}"/>
          </c:extLst>
        </c:dLbl>
      </c:pivotFmt>
      <c:pivotFmt>
        <c:idx val="95"/>
        <c:spPr>
          <a:effectLst/>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'Decay Indicators'!$B$14</c:f>
              <c:strCache>
                <c:ptCount val="1"/>
                <c:pt idx="0">
                  <c:v>Rtn spy</c:v>
                </c:pt>
              </c:strCache>
            </c:strRef>
          </c:tx>
          <c:spPr>
            <a:effectLst/>
          </c:spPr>
          <c:marker>
            <c:symbol val="none"/>
          </c:marker>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Indicators'!$B$15:$B$28</c:f>
              <c:numCache>
                <c:formatCode>General</c:formatCode>
                <c:ptCount val="13"/>
                <c:pt idx="0">
                  <c:v>67</c:v>
                </c:pt>
                <c:pt idx="1">
                  <c:v>67</c:v>
                </c:pt>
                <c:pt idx="2">
                  <c:v>67</c:v>
                </c:pt>
                <c:pt idx="3">
                  <c:v>66</c:v>
                </c:pt>
                <c:pt idx="4">
                  <c:v>65</c:v>
                </c:pt>
                <c:pt idx="5">
                  <c:v>65</c:v>
                </c:pt>
                <c:pt idx="6">
                  <c:v>65</c:v>
                </c:pt>
                <c:pt idx="7">
                  <c:v>65</c:v>
                </c:pt>
                <c:pt idx="8">
                  <c:v>64</c:v>
                </c:pt>
                <c:pt idx="9">
                  <c:v>63</c:v>
                </c:pt>
                <c:pt idx="10">
                  <c:v>62</c:v>
                </c:pt>
                <c:pt idx="11">
                  <c:v>62</c:v>
                </c:pt>
                <c:pt idx="12">
                  <c:v>62</c:v>
                </c:pt>
              </c:numCache>
            </c:numRef>
          </c:val>
          <c:smooth val="0"/>
          <c:extLst>
            <c:ext xmlns:c16="http://schemas.microsoft.com/office/drawing/2014/chart" uri="{C3380CC4-5D6E-409C-BE32-E72D297353CC}">
              <c16:uniqueId val="{00000000-4CA0-40ED-A0F9-DC1339750DE7}"/>
            </c:ext>
          </c:extLst>
        </c:ser>
        <c:ser>
          <c:idx val="1"/>
          <c:order val="1"/>
          <c:tx>
            <c:strRef>
              <c:f>'Decay Indicators'!$C$14</c:f>
              <c:strCache>
                <c:ptCount val="1"/>
                <c:pt idx="0">
                  <c:v>Rtn agg</c:v>
                </c:pt>
              </c:strCache>
            </c:strRef>
          </c:tx>
          <c:spPr>
            <a:effectLst/>
          </c:spPr>
          <c:marker>
            <c:symbol val="none"/>
          </c:marker>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Indicators'!$C$15:$C$28</c:f>
              <c:numCache>
                <c:formatCode>General</c:formatCode>
                <c:ptCount val="13"/>
                <c:pt idx="0">
                  <c:v>60</c:v>
                </c:pt>
                <c:pt idx="1">
                  <c:v>60</c:v>
                </c:pt>
                <c:pt idx="2">
                  <c:v>59</c:v>
                </c:pt>
                <c:pt idx="3">
                  <c:v>58</c:v>
                </c:pt>
                <c:pt idx="4">
                  <c:v>58</c:v>
                </c:pt>
                <c:pt idx="5">
                  <c:v>58</c:v>
                </c:pt>
                <c:pt idx="6">
                  <c:v>57</c:v>
                </c:pt>
                <c:pt idx="7">
                  <c:v>57</c:v>
                </c:pt>
                <c:pt idx="8">
                  <c:v>56</c:v>
                </c:pt>
                <c:pt idx="9">
                  <c:v>56</c:v>
                </c:pt>
                <c:pt idx="10">
                  <c:v>55</c:v>
                </c:pt>
                <c:pt idx="11">
                  <c:v>55</c:v>
                </c:pt>
                <c:pt idx="12">
                  <c:v>54</c:v>
                </c:pt>
              </c:numCache>
            </c:numRef>
          </c:val>
          <c:smooth val="0"/>
          <c:extLst>
            <c:ext xmlns:c16="http://schemas.microsoft.com/office/drawing/2014/chart" uri="{C3380CC4-5D6E-409C-BE32-E72D297353CC}">
              <c16:uniqueId val="{00000001-4CA0-40ED-A0F9-DC1339750DE7}"/>
            </c:ext>
          </c:extLst>
        </c:ser>
        <c:ser>
          <c:idx val="2"/>
          <c:order val="2"/>
          <c:tx>
            <c:strRef>
              <c:f>'Decay Indicators'!$D$14</c:f>
              <c:strCache>
                <c:ptCount val="1"/>
                <c:pt idx="0">
                  <c:v>Rtn xop</c:v>
                </c:pt>
              </c:strCache>
            </c:strRef>
          </c:tx>
          <c:spPr>
            <a:effectLst/>
          </c:spPr>
          <c:marker>
            <c:symbol val="none"/>
          </c:marker>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Indicators'!$D$15:$D$28</c:f>
              <c:numCache>
                <c:formatCode>General</c:formatCode>
                <c:ptCount val="13"/>
                <c:pt idx="0">
                  <c:v>48</c:v>
                </c:pt>
                <c:pt idx="1">
                  <c:v>49</c:v>
                </c:pt>
                <c:pt idx="2">
                  <c:v>49</c:v>
                </c:pt>
                <c:pt idx="3">
                  <c:v>48</c:v>
                </c:pt>
                <c:pt idx="4">
                  <c:v>48</c:v>
                </c:pt>
                <c:pt idx="5">
                  <c:v>48</c:v>
                </c:pt>
                <c:pt idx="6">
                  <c:v>48</c:v>
                </c:pt>
                <c:pt idx="7">
                  <c:v>47</c:v>
                </c:pt>
                <c:pt idx="8">
                  <c:v>47</c:v>
                </c:pt>
                <c:pt idx="9">
                  <c:v>46</c:v>
                </c:pt>
                <c:pt idx="10">
                  <c:v>45</c:v>
                </c:pt>
                <c:pt idx="11">
                  <c:v>45</c:v>
                </c:pt>
                <c:pt idx="12">
                  <c:v>45</c:v>
                </c:pt>
              </c:numCache>
            </c:numRef>
          </c:val>
          <c:smooth val="0"/>
          <c:extLst>
            <c:ext xmlns:c16="http://schemas.microsoft.com/office/drawing/2014/chart" uri="{C3380CC4-5D6E-409C-BE32-E72D297353CC}">
              <c16:uniqueId val="{00000002-4CA0-40ED-A0F9-DC1339750DE7}"/>
            </c:ext>
          </c:extLst>
        </c:ser>
        <c:ser>
          <c:idx val="3"/>
          <c:order val="3"/>
          <c:tx>
            <c:strRef>
              <c:f>'Decay Indicators'!$E$14</c:f>
              <c:strCache>
                <c:ptCount val="1"/>
                <c:pt idx="0">
                  <c:v>Rtn xme</c:v>
                </c:pt>
              </c:strCache>
            </c:strRef>
          </c:tx>
          <c:spPr>
            <a:effectLst/>
          </c:spPr>
          <c:marker>
            <c:symbol val="none"/>
          </c:marker>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Indicators'!$E$15:$E$28</c:f>
              <c:numCache>
                <c:formatCode>General</c:formatCode>
                <c:ptCount val="13"/>
                <c:pt idx="0">
                  <c:v>49</c:v>
                </c:pt>
                <c:pt idx="1">
                  <c:v>50</c:v>
                </c:pt>
                <c:pt idx="2">
                  <c:v>49</c:v>
                </c:pt>
                <c:pt idx="3">
                  <c:v>49</c:v>
                </c:pt>
                <c:pt idx="4">
                  <c:v>49</c:v>
                </c:pt>
                <c:pt idx="5">
                  <c:v>49</c:v>
                </c:pt>
                <c:pt idx="6">
                  <c:v>49</c:v>
                </c:pt>
                <c:pt idx="7">
                  <c:v>49</c:v>
                </c:pt>
                <c:pt idx="8">
                  <c:v>49</c:v>
                </c:pt>
                <c:pt idx="9">
                  <c:v>48</c:v>
                </c:pt>
                <c:pt idx="10">
                  <c:v>47</c:v>
                </c:pt>
                <c:pt idx="11">
                  <c:v>47</c:v>
                </c:pt>
                <c:pt idx="12">
                  <c:v>47</c:v>
                </c:pt>
              </c:numCache>
            </c:numRef>
          </c:val>
          <c:smooth val="0"/>
          <c:extLst>
            <c:ext xmlns:c16="http://schemas.microsoft.com/office/drawing/2014/chart" uri="{C3380CC4-5D6E-409C-BE32-E72D297353CC}">
              <c16:uniqueId val="{00000003-4CA0-40ED-A0F9-DC1339750DE7}"/>
            </c:ext>
          </c:extLst>
        </c:ser>
        <c:ser>
          <c:idx val="4"/>
          <c:order val="4"/>
          <c:tx>
            <c:strRef>
              <c:f>'Decay Indicators'!$F$14</c:f>
              <c:strCache>
                <c:ptCount val="1"/>
                <c:pt idx="0">
                  <c:v>Rtn xhb</c:v>
                </c:pt>
              </c:strCache>
            </c:strRef>
          </c:tx>
          <c:spPr>
            <a:effectLst/>
          </c:spPr>
          <c:marker>
            <c:symbol val="none"/>
          </c:marker>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Indicators'!$F$15:$F$28</c:f>
              <c:numCache>
                <c:formatCode>General</c:formatCode>
                <c:ptCount val="13"/>
                <c:pt idx="0">
                  <c:v>63</c:v>
                </c:pt>
                <c:pt idx="1">
                  <c:v>63</c:v>
                </c:pt>
                <c:pt idx="2">
                  <c:v>62</c:v>
                </c:pt>
                <c:pt idx="3">
                  <c:v>62</c:v>
                </c:pt>
                <c:pt idx="4">
                  <c:v>61</c:v>
                </c:pt>
                <c:pt idx="5">
                  <c:v>60</c:v>
                </c:pt>
                <c:pt idx="6">
                  <c:v>60</c:v>
                </c:pt>
                <c:pt idx="7">
                  <c:v>60</c:v>
                </c:pt>
                <c:pt idx="8">
                  <c:v>60</c:v>
                </c:pt>
                <c:pt idx="9">
                  <c:v>59</c:v>
                </c:pt>
                <c:pt idx="10">
                  <c:v>58</c:v>
                </c:pt>
                <c:pt idx="11">
                  <c:v>58</c:v>
                </c:pt>
                <c:pt idx="12">
                  <c:v>58</c:v>
                </c:pt>
              </c:numCache>
            </c:numRef>
          </c:val>
          <c:smooth val="0"/>
          <c:extLst>
            <c:ext xmlns:c16="http://schemas.microsoft.com/office/drawing/2014/chart" uri="{C3380CC4-5D6E-409C-BE32-E72D297353CC}">
              <c16:uniqueId val="{00000004-4CA0-40ED-A0F9-DC1339750DE7}"/>
            </c:ext>
          </c:extLst>
        </c:ser>
        <c:ser>
          <c:idx val="5"/>
          <c:order val="5"/>
          <c:tx>
            <c:strRef>
              <c:f>'Decay Indicators'!$G$14</c:f>
              <c:strCache>
                <c:ptCount val="1"/>
                <c:pt idx="0">
                  <c:v>Rtn gld</c:v>
                </c:pt>
              </c:strCache>
            </c:strRef>
          </c:tx>
          <c:spPr>
            <a:effectLst/>
          </c:spPr>
          <c:marker>
            <c:symbol val="none"/>
          </c:marker>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Indicators'!$G$15:$G$28</c:f>
              <c:numCache>
                <c:formatCode>General</c:formatCode>
                <c:ptCount val="13"/>
                <c:pt idx="0">
                  <c:v>44</c:v>
                </c:pt>
                <c:pt idx="1">
                  <c:v>44</c:v>
                </c:pt>
                <c:pt idx="2">
                  <c:v>44</c:v>
                </c:pt>
                <c:pt idx="3">
                  <c:v>44</c:v>
                </c:pt>
                <c:pt idx="4">
                  <c:v>44</c:v>
                </c:pt>
                <c:pt idx="5">
                  <c:v>44</c:v>
                </c:pt>
                <c:pt idx="6">
                  <c:v>44</c:v>
                </c:pt>
                <c:pt idx="7">
                  <c:v>44</c:v>
                </c:pt>
                <c:pt idx="8">
                  <c:v>43</c:v>
                </c:pt>
                <c:pt idx="9">
                  <c:v>42</c:v>
                </c:pt>
                <c:pt idx="10">
                  <c:v>42</c:v>
                </c:pt>
                <c:pt idx="11">
                  <c:v>42</c:v>
                </c:pt>
                <c:pt idx="12">
                  <c:v>42</c:v>
                </c:pt>
              </c:numCache>
            </c:numRef>
          </c:val>
          <c:smooth val="0"/>
          <c:extLst>
            <c:ext xmlns:c16="http://schemas.microsoft.com/office/drawing/2014/chart" uri="{C3380CC4-5D6E-409C-BE32-E72D297353CC}">
              <c16:uniqueId val="{00000005-4CA0-40ED-A0F9-DC1339750DE7}"/>
            </c:ext>
          </c:extLst>
        </c:ser>
        <c:ser>
          <c:idx val="6"/>
          <c:order val="6"/>
          <c:tx>
            <c:strRef>
              <c:f>'Decay Indicators'!$H$14</c:f>
              <c:strCache>
                <c:ptCount val="1"/>
                <c:pt idx="0">
                  <c:v>Rtn bil</c:v>
                </c:pt>
              </c:strCache>
            </c:strRef>
          </c:tx>
          <c:spPr>
            <a:effectLst/>
          </c:spPr>
          <c:marker>
            <c:symbol val="none"/>
          </c:marker>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Indicators'!$H$15:$H$28</c:f>
              <c:numCache>
                <c:formatCode>General</c:formatCode>
                <c:ptCount val="13"/>
                <c:pt idx="0">
                  <c:v>62</c:v>
                </c:pt>
                <c:pt idx="1">
                  <c:v>63</c:v>
                </c:pt>
                <c:pt idx="2">
                  <c:v>63</c:v>
                </c:pt>
                <c:pt idx="3">
                  <c:v>62</c:v>
                </c:pt>
                <c:pt idx="4">
                  <c:v>62</c:v>
                </c:pt>
                <c:pt idx="5">
                  <c:v>62</c:v>
                </c:pt>
                <c:pt idx="6">
                  <c:v>62</c:v>
                </c:pt>
                <c:pt idx="7">
                  <c:v>62</c:v>
                </c:pt>
                <c:pt idx="8">
                  <c:v>62</c:v>
                </c:pt>
                <c:pt idx="9">
                  <c:v>62</c:v>
                </c:pt>
                <c:pt idx="10">
                  <c:v>62</c:v>
                </c:pt>
                <c:pt idx="11">
                  <c:v>61</c:v>
                </c:pt>
                <c:pt idx="12">
                  <c:v>61</c:v>
                </c:pt>
              </c:numCache>
            </c:numRef>
          </c:val>
          <c:smooth val="0"/>
          <c:extLst>
            <c:ext xmlns:c16="http://schemas.microsoft.com/office/drawing/2014/chart" uri="{C3380CC4-5D6E-409C-BE32-E72D297353CC}">
              <c16:uniqueId val="{00000006-4CA0-40ED-A0F9-DC1339750DE7}"/>
            </c:ext>
          </c:extLst>
        </c:ser>
        <c:ser>
          <c:idx val="7"/>
          <c:order val="7"/>
          <c:tx>
            <c:strRef>
              <c:f>'Decay Indicators'!$I$14</c:f>
              <c:strCache>
                <c:ptCount val="1"/>
                <c:pt idx="0">
                  <c:v>Rtn tip</c:v>
                </c:pt>
              </c:strCache>
            </c:strRef>
          </c:tx>
          <c:spPr>
            <a:effectLst/>
          </c:spPr>
          <c:marker>
            <c:symbol val="none"/>
          </c:marker>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Indicators'!$I$15:$I$28</c:f>
              <c:numCache>
                <c:formatCode>General</c:formatCode>
                <c:ptCount val="13"/>
                <c:pt idx="0">
                  <c:v>58</c:v>
                </c:pt>
                <c:pt idx="1">
                  <c:v>58</c:v>
                </c:pt>
                <c:pt idx="2">
                  <c:v>58</c:v>
                </c:pt>
                <c:pt idx="3">
                  <c:v>58</c:v>
                </c:pt>
                <c:pt idx="4">
                  <c:v>58</c:v>
                </c:pt>
                <c:pt idx="5">
                  <c:v>57</c:v>
                </c:pt>
                <c:pt idx="6">
                  <c:v>56</c:v>
                </c:pt>
                <c:pt idx="7">
                  <c:v>56</c:v>
                </c:pt>
                <c:pt idx="8">
                  <c:v>56</c:v>
                </c:pt>
                <c:pt idx="9">
                  <c:v>56</c:v>
                </c:pt>
                <c:pt idx="10">
                  <c:v>55</c:v>
                </c:pt>
                <c:pt idx="11">
                  <c:v>54</c:v>
                </c:pt>
                <c:pt idx="12">
                  <c:v>53</c:v>
                </c:pt>
              </c:numCache>
            </c:numRef>
          </c:val>
          <c:smooth val="0"/>
          <c:extLst>
            <c:ext xmlns:c16="http://schemas.microsoft.com/office/drawing/2014/chart" uri="{C3380CC4-5D6E-409C-BE32-E72D297353CC}">
              <c16:uniqueId val="{00000007-4CA0-40ED-A0F9-DC1339750DE7}"/>
            </c:ext>
          </c:extLst>
        </c:ser>
        <c:ser>
          <c:idx val="8"/>
          <c:order val="8"/>
          <c:tx>
            <c:strRef>
              <c:f>'Decay Indicators'!$J$14</c:f>
              <c:strCache>
                <c:ptCount val="1"/>
                <c:pt idx="0">
                  <c:v>Rtn spts</c:v>
                </c:pt>
              </c:strCache>
            </c:strRef>
          </c:tx>
          <c:spPr>
            <a:effectLst/>
          </c:spPr>
          <c:marker>
            <c:symbol val="none"/>
          </c:marker>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Indicators'!$J$15:$J$28</c:f>
              <c:numCache>
                <c:formatCode>General</c:formatCode>
                <c:ptCount val="13"/>
                <c:pt idx="0">
                  <c:v>52</c:v>
                </c:pt>
                <c:pt idx="1">
                  <c:v>52</c:v>
                </c:pt>
                <c:pt idx="2">
                  <c:v>52</c:v>
                </c:pt>
                <c:pt idx="3">
                  <c:v>52</c:v>
                </c:pt>
                <c:pt idx="4">
                  <c:v>52</c:v>
                </c:pt>
                <c:pt idx="5">
                  <c:v>51</c:v>
                </c:pt>
                <c:pt idx="6">
                  <c:v>51</c:v>
                </c:pt>
                <c:pt idx="7">
                  <c:v>51</c:v>
                </c:pt>
                <c:pt idx="8">
                  <c:v>50</c:v>
                </c:pt>
                <c:pt idx="9">
                  <c:v>50</c:v>
                </c:pt>
                <c:pt idx="10">
                  <c:v>50</c:v>
                </c:pt>
                <c:pt idx="11">
                  <c:v>50</c:v>
                </c:pt>
                <c:pt idx="12">
                  <c:v>49</c:v>
                </c:pt>
              </c:numCache>
            </c:numRef>
          </c:val>
          <c:smooth val="0"/>
          <c:extLst>
            <c:ext xmlns:c16="http://schemas.microsoft.com/office/drawing/2014/chart" uri="{C3380CC4-5D6E-409C-BE32-E72D297353CC}">
              <c16:uniqueId val="{00000008-4CA0-40ED-A0F9-DC1339750DE7}"/>
            </c:ext>
          </c:extLst>
        </c:ser>
        <c:ser>
          <c:idx val="9"/>
          <c:order val="9"/>
          <c:tx>
            <c:strRef>
              <c:f>'Decay Indicators'!$K$14</c:f>
              <c:strCache>
                <c:ptCount val="1"/>
                <c:pt idx="0">
                  <c:v>Rtn spti</c:v>
                </c:pt>
              </c:strCache>
            </c:strRef>
          </c:tx>
          <c:spPr>
            <a:effectLst/>
          </c:spPr>
          <c:marker>
            <c:symbol val="none"/>
          </c:marker>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Indicators'!$K$15:$K$28</c:f>
              <c:numCache>
                <c:formatCode>General</c:formatCode>
                <c:ptCount val="13"/>
                <c:pt idx="0">
                  <c:v>56</c:v>
                </c:pt>
                <c:pt idx="1">
                  <c:v>56</c:v>
                </c:pt>
                <c:pt idx="2">
                  <c:v>55</c:v>
                </c:pt>
                <c:pt idx="3">
                  <c:v>55</c:v>
                </c:pt>
                <c:pt idx="4">
                  <c:v>55</c:v>
                </c:pt>
                <c:pt idx="5">
                  <c:v>54</c:v>
                </c:pt>
                <c:pt idx="6">
                  <c:v>53</c:v>
                </c:pt>
                <c:pt idx="7">
                  <c:v>53</c:v>
                </c:pt>
                <c:pt idx="8">
                  <c:v>53</c:v>
                </c:pt>
                <c:pt idx="9">
                  <c:v>52</c:v>
                </c:pt>
                <c:pt idx="10">
                  <c:v>51</c:v>
                </c:pt>
                <c:pt idx="11">
                  <c:v>51</c:v>
                </c:pt>
                <c:pt idx="12">
                  <c:v>51</c:v>
                </c:pt>
              </c:numCache>
            </c:numRef>
          </c:val>
          <c:smooth val="0"/>
          <c:extLst>
            <c:ext xmlns:c16="http://schemas.microsoft.com/office/drawing/2014/chart" uri="{C3380CC4-5D6E-409C-BE32-E72D297353CC}">
              <c16:uniqueId val="{00000009-4CA0-40ED-A0F9-DC1339750DE7}"/>
            </c:ext>
          </c:extLst>
        </c:ser>
        <c:ser>
          <c:idx val="10"/>
          <c:order val="10"/>
          <c:tx>
            <c:strRef>
              <c:f>'Decay Indicators'!$L$14</c:f>
              <c:strCache>
                <c:ptCount val="1"/>
                <c:pt idx="0">
                  <c:v>Rtn naivevol</c:v>
                </c:pt>
              </c:strCache>
            </c:strRef>
          </c:tx>
          <c:spPr>
            <a:effectLst/>
          </c:spPr>
          <c:marker>
            <c:symbol val="none"/>
          </c:marker>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Indicators'!$L$15:$L$28</c:f>
              <c:numCache>
                <c:formatCode>General</c:formatCode>
                <c:ptCount val="13"/>
                <c:pt idx="0">
                  <c:v>56</c:v>
                </c:pt>
                <c:pt idx="1">
                  <c:v>56</c:v>
                </c:pt>
                <c:pt idx="2">
                  <c:v>56</c:v>
                </c:pt>
                <c:pt idx="3">
                  <c:v>55</c:v>
                </c:pt>
                <c:pt idx="4">
                  <c:v>54</c:v>
                </c:pt>
                <c:pt idx="5">
                  <c:v>54</c:v>
                </c:pt>
                <c:pt idx="6">
                  <c:v>54</c:v>
                </c:pt>
                <c:pt idx="7">
                  <c:v>53</c:v>
                </c:pt>
                <c:pt idx="8">
                  <c:v>53</c:v>
                </c:pt>
                <c:pt idx="9">
                  <c:v>52</c:v>
                </c:pt>
                <c:pt idx="10">
                  <c:v>51</c:v>
                </c:pt>
                <c:pt idx="11">
                  <c:v>51</c:v>
                </c:pt>
                <c:pt idx="12">
                  <c:v>51</c:v>
                </c:pt>
              </c:numCache>
            </c:numRef>
          </c:val>
          <c:smooth val="0"/>
          <c:extLst>
            <c:ext xmlns:c16="http://schemas.microsoft.com/office/drawing/2014/chart" uri="{C3380CC4-5D6E-409C-BE32-E72D297353CC}">
              <c16:uniqueId val="{0000000A-4CA0-40ED-A0F9-DC1339750DE7}"/>
            </c:ext>
          </c:extLst>
        </c:ser>
        <c:ser>
          <c:idx val="11"/>
          <c:order val="11"/>
          <c:tx>
            <c:strRef>
              <c:f>'Decay Indicators'!$M$14</c:f>
              <c:strCache>
                <c:ptCount val="1"/>
                <c:pt idx="0">
                  <c:v>Rtn 6040</c:v>
                </c:pt>
              </c:strCache>
            </c:strRef>
          </c:tx>
          <c:spPr>
            <a:effectLst/>
          </c:spPr>
          <c:marker>
            <c:symbol val="none"/>
          </c:marker>
          <c:cat>
            <c:strRef>
              <c:f>'Decay Indicators'!$A$15:$A$28</c:f>
              <c:strCache>
                <c:ptCount val="13"/>
                <c:pt idx="0">
                  <c:v>lag 0</c:v>
                </c:pt>
                <c:pt idx="1">
                  <c:v>lag 1</c:v>
                </c:pt>
                <c:pt idx="2">
                  <c:v>lag 2</c:v>
                </c:pt>
                <c:pt idx="3">
                  <c:v>lag 3</c:v>
                </c:pt>
                <c:pt idx="4">
                  <c:v>lag 4</c:v>
                </c:pt>
                <c:pt idx="5">
                  <c:v>lag 5</c:v>
                </c:pt>
                <c:pt idx="6">
                  <c:v>lag 6</c:v>
                </c:pt>
                <c:pt idx="7">
                  <c:v>lag 7</c:v>
                </c:pt>
                <c:pt idx="8">
                  <c:v>lag 8</c:v>
                </c:pt>
                <c:pt idx="9">
                  <c:v>lag 9</c:v>
                </c:pt>
                <c:pt idx="10">
                  <c:v>lag 10</c:v>
                </c:pt>
                <c:pt idx="11">
                  <c:v>lag 11</c:v>
                </c:pt>
                <c:pt idx="12">
                  <c:v>lag 12</c:v>
                </c:pt>
              </c:strCache>
            </c:strRef>
          </c:cat>
          <c:val>
            <c:numRef>
              <c:f>'Decay Indicators'!$M$15:$M$28</c:f>
              <c:numCache>
                <c:formatCode>General</c:formatCode>
                <c:ptCount val="13"/>
                <c:pt idx="0">
                  <c:v>67</c:v>
                </c:pt>
                <c:pt idx="1">
                  <c:v>67</c:v>
                </c:pt>
                <c:pt idx="2">
                  <c:v>67</c:v>
                </c:pt>
                <c:pt idx="3">
                  <c:v>66</c:v>
                </c:pt>
                <c:pt idx="4">
                  <c:v>65</c:v>
                </c:pt>
                <c:pt idx="5">
                  <c:v>65</c:v>
                </c:pt>
                <c:pt idx="6">
                  <c:v>65</c:v>
                </c:pt>
                <c:pt idx="7">
                  <c:v>65</c:v>
                </c:pt>
                <c:pt idx="8">
                  <c:v>64</c:v>
                </c:pt>
                <c:pt idx="9">
                  <c:v>63</c:v>
                </c:pt>
                <c:pt idx="10">
                  <c:v>62</c:v>
                </c:pt>
                <c:pt idx="11">
                  <c:v>62</c:v>
                </c:pt>
                <c:pt idx="12">
                  <c:v>62</c:v>
                </c:pt>
              </c:numCache>
            </c:numRef>
          </c:val>
          <c:smooth val="0"/>
          <c:extLst>
            <c:ext xmlns:c16="http://schemas.microsoft.com/office/drawing/2014/chart" uri="{C3380CC4-5D6E-409C-BE32-E72D297353CC}">
              <c16:uniqueId val="{0000000B-4CA0-40ED-A0F9-DC1339750DE7}"/>
            </c:ext>
          </c:extLst>
        </c:ser>
        <c:dLbls>
          <c:showLegendKey val="0"/>
          <c:showVal val="0"/>
          <c:showCatName val="0"/>
          <c:showSerName val="0"/>
          <c:showPercent val="0"/>
          <c:showBubbleSize val="0"/>
        </c:dLbls>
        <c:smooth val="0"/>
        <c:axId val="1116290048"/>
        <c:axId val="829445440"/>
      </c:lineChart>
      <c:catAx>
        <c:axId val="1116290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445440"/>
        <c:crossesAt val="40"/>
        <c:auto val="1"/>
        <c:lblAlgn val="ctr"/>
        <c:lblOffset val="100"/>
        <c:noMultiLvlLbl val="0"/>
      </c:catAx>
      <c:valAx>
        <c:axId val="829445440"/>
        <c:scaling>
          <c:orientation val="minMax"/>
          <c:max val="70"/>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6290048"/>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14</xdr:col>
      <xdr:colOff>98424</xdr:colOff>
      <xdr:row>1</xdr:row>
      <xdr:rowOff>114300</xdr:rowOff>
    </xdr:from>
    <xdr:to>
      <xdr:col>32</xdr:col>
      <xdr:colOff>228600</xdr:colOff>
      <xdr:row>26</xdr:row>
      <xdr:rowOff>38100</xdr:rowOff>
    </xdr:to>
    <xdr:graphicFrame macro="">
      <xdr:nvGraphicFramePr>
        <xdr:cNvPr id="2" name="Chart 1">
          <a:extLst>
            <a:ext uri="{FF2B5EF4-FFF2-40B4-BE49-F238E27FC236}">
              <a16:creationId xmlns:a16="http://schemas.microsoft.com/office/drawing/2014/main" id="{8E16E93E-1975-1642-3BE4-F70CAC695B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152400</xdr:colOff>
      <xdr:row>0</xdr:row>
      <xdr:rowOff>1</xdr:rowOff>
    </xdr:from>
    <xdr:to>
      <xdr:col>5</xdr:col>
      <xdr:colOff>527050</xdr:colOff>
      <xdr:row>8</xdr:row>
      <xdr:rowOff>82551</xdr:rowOff>
    </xdr:to>
    <mc:AlternateContent xmlns:mc="http://schemas.openxmlformats.org/markup-compatibility/2006" xmlns:a14="http://schemas.microsoft.com/office/drawing/2010/main">
      <mc:Choice Requires="a14">
        <xdr:graphicFrame macro="">
          <xdr:nvGraphicFramePr>
            <xdr:cNvPr id="3" name="indicator">
              <a:extLst>
                <a:ext uri="{FF2B5EF4-FFF2-40B4-BE49-F238E27FC236}">
                  <a16:creationId xmlns:a16="http://schemas.microsoft.com/office/drawing/2014/main" id="{EC5F1BB7-41AC-C39A-5BED-56495A91281E}"/>
                </a:ext>
              </a:extLst>
            </xdr:cNvPr>
            <xdr:cNvGraphicFramePr/>
          </xdr:nvGraphicFramePr>
          <xdr:xfrm>
            <a:off x="0" y="0"/>
            <a:ext cx="0" cy="0"/>
          </xdr:xfrm>
          <a:graphic>
            <a:graphicData uri="http://schemas.microsoft.com/office/drawing/2010/slicer">
              <sle:slicer xmlns:sle="http://schemas.microsoft.com/office/drawing/2010/slicer" name="indicator"/>
            </a:graphicData>
          </a:graphic>
        </xdr:graphicFrame>
      </mc:Choice>
      <mc:Fallback xmlns="">
        <xdr:sp macro="" textlink="">
          <xdr:nvSpPr>
            <xdr:cNvPr id="0" name=""/>
            <xdr:cNvSpPr>
              <a:spLocks noTextEdit="1"/>
            </xdr:cNvSpPr>
          </xdr:nvSpPr>
          <xdr:spPr>
            <a:xfrm>
              <a:off x="2400300" y="1"/>
              <a:ext cx="1828800" cy="1555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666750</xdr:colOff>
      <xdr:row>0</xdr:row>
      <xdr:rowOff>19051</xdr:rowOff>
    </xdr:from>
    <xdr:to>
      <xdr:col>8</xdr:col>
      <xdr:colOff>482600</xdr:colOff>
      <xdr:row>8</xdr:row>
      <xdr:rowOff>88901</xdr:rowOff>
    </xdr:to>
    <mc:AlternateContent xmlns:mc="http://schemas.openxmlformats.org/markup-compatibility/2006" xmlns:a14="http://schemas.microsoft.com/office/drawing/2010/main">
      <mc:Choice Requires="a14">
        <xdr:graphicFrame macro="">
          <xdr:nvGraphicFramePr>
            <xdr:cNvPr id="4" name="posneg">
              <a:extLst>
                <a:ext uri="{FF2B5EF4-FFF2-40B4-BE49-F238E27FC236}">
                  <a16:creationId xmlns:a16="http://schemas.microsoft.com/office/drawing/2014/main" id="{E136E7AF-3CA2-DD3A-D5A0-BFC6617BF831}"/>
                </a:ext>
              </a:extLst>
            </xdr:cNvPr>
            <xdr:cNvGraphicFramePr/>
          </xdr:nvGraphicFramePr>
          <xdr:xfrm>
            <a:off x="0" y="0"/>
            <a:ext cx="0" cy="0"/>
          </xdr:xfrm>
          <a:graphic>
            <a:graphicData uri="http://schemas.microsoft.com/office/drawing/2010/slicer">
              <sle:slicer xmlns:sle="http://schemas.microsoft.com/office/drawing/2010/slicer" name="posneg"/>
            </a:graphicData>
          </a:graphic>
        </xdr:graphicFrame>
      </mc:Choice>
      <mc:Fallback xmlns="">
        <xdr:sp macro="" textlink="">
          <xdr:nvSpPr>
            <xdr:cNvPr id="0" name=""/>
            <xdr:cNvSpPr>
              <a:spLocks noTextEdit="1"/>
            </xdr:cNvSpPr>
          </xdr:nvSpPr>
          <xdr:spPr>
            <a:xfrm>
              <a:off x="4368800" y="19051"/>
              <a:ext cx="1828800" cy="1543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133350</xdr:colOff>
      <xdr:row>26</xdr:row>
      <xdr:rowOff>165100</xdr:rowOff>
    </xdr:from>
    <xdr:to>
      <xdr:col>32</xdr:col>
      <xdr:colOff>263526</xdr:colOff>
      <xdr:row>51</xdr:row>
      <xdr:rowOff>88900</xdr:rowOff>
    </xdr:to>
    <xdr:graphicFrame macro="">
      <xdr:nvGraphicFramePr>
        <xdr:cNvPr id="17" name="Chart 16">
          <a:extLst>
            <a:ext uri="{FF2B5EF4-FFF2-40B4-BE49-F238E27FC236}">
              <a16:creationId xmlns:a16="http://schemas.microsoft.com/office/drawing/2014/main" id="{F35446FA-4FE6-4DA3-8947-2160D447B3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cota" refreshedDate="45302.56161921296" createdVersion="8" refreshedVersion="8" minRefreshableVersion="3" recordCount="78" xr:uid="{03115797-1092-4C3C-9BC3-ACF50ED8A420}">
  <cacheSource type="worksheet">
    <worksheetSource name="Table2"/>
  </cacheSource>
  <cacheFields count="15">
    <cacheField name="indicator" numFmtId="0">
      <sharedItems count="3">
        <s v="pmpmi"/>
        <s v="pmnmi"/>
        <s v="cpiyoy"/>
      </sharedItems>
    </cacheField>
    <cacheField name="posneg" numFmtId="0">
      <sharedItems count="2">
        <s v="neg"/>
        <s v="pos"/>
      </sharedItems>
    </cacheField>
    <cacheField name="lag" numFmtId="0">
      <sharedItems count="25">
        <s v="lag 0"/>
        <s v="lag 1"/>
        <s v="lag 2"/>
        <s v="lag 3"/>
        <s v="lag 4"/>
        <s v="lag 5"/>
        <s v="lag 6"/>
        <s v="lag 7"/>
        <s v="lag 8"/>
        <s v="lag 9"/>
        <s v="lag 10"/>
        <s v="lag 11"/>
        <s v="lag 12"/>
        <s v="lag -1" u="1"/>
        <s v="lag -2" u="1"/>
        <s v="lag -3" u="1"/>
        <s v="lag -4" u="1"/>
        <s v="lag -5" u="1"/>
        <s v="lag -6" u="1"/>
        <s v="lag -7" u="1"/>
        <s v="lag -8" u="1"/>
        <s v="lag -9" u="1"/>
        <s v="lag -10" u="1"/>
        <s v="lag -11" u="1"/>
        <s v="lag -12" u="1"/>
      </sharedItems>
    </cacheField>
    <cacheField name="spy" numFmtId="0">
      <sharedItems containsSemiMixedTypes="0" containsString="0" containsNumber="1" containsInteger="1" minValue="32" maxValue="68" count="24">
        <n v="32"/>
        <n v="68"/>
        <n v="33"/>
        <n v="67"/>
        <n v="34"/>
        <n v="66"/>
        <n v="42"/>
        <n v="58"/>
        <n v="41"/>
        <n v="59"/>
        <n v="35"/>
        <n v="65"/>
        <n v="37"/>
        <n v="63"/>
        <n v="36"/>
        <n v="64"/>
        <n v="38"/>
        <n v="62"/>
        <n v="44"/>
        <n v="56"/>
        <n v="46"/>
        <n v="54"/>
        <n v="48"/>
        <n v="52"/>
      </sharedItems>
    </cacheField>
    <cacheField name="agg" numFmtId="0">
      <sharedItems containsSemiMixedTypes="0" containsString="0" containsNumber="1" containsInteger="1" minValue="40" maxValue="60" count="16">
        <n v="40"/>
        <n v="60"/>
        <n v="42"/>
        <n v="58"/>
        <n v="41"/>
        <n v="59"/>
        <n v="44"/>
        <n v="56"/>
        <n v="46"/>
        <n v="54"/>
        <n v="45"/>
        <n v="55"/>
        <n v="43"/>
        <n v="57"/>
        <n v="49"/>
        <n v="51"/>
      </sharedItems>
    </cacheField>
    <cacheField name="xop" numFmtId="0">
      <sharedItems containsSemiMixedTypes="0" containsString="0" containsNumber="1" containsInteger="1" minValue="42" maxValue="58" count="14">
        <n v="52"/>
        <n v="48"/>
        <n v="51"/>
        <n v="49"/>
        <n v="54"/>
        <n v="46"/>
        <n v="55"/>
        <n v="45"/>
        <n v="53"/>
        <n v="47"/>
        <n v="56"/>
        <n v="44"/>
        <n v="58"/>
        <n v="42"/>
      </sharedItems>
    </cacheField>
    <cacheField name="xme" numFmtId="0">
      <sharedItems containsSemiMixedTypes="0" containsString="0" containsNumber="1" containsInteger="1" minValue="39" maxValue="61" count="17">
        <n v="50"/>
        <n v="51"/>
        <n v="49"/>
        <n v="55"/>
        <n v="45"/>
        <n v="56"/>
        <n v="44"/>
        <n v="59"/>
        <n v="41"/>
        <n v="54"/>
        <n v="46"/>
        <n v="52"/>
        <n v="48"/>
        <n v="53"/>
        <n v="47"/>
        <n v="61"/>
        <n v="39"/>
      </sharedItems>
    </cacheField>
    <cacheField name="xhb" numFmtId="0">
      <sharedItems containsSemiMixedTypes="0" containsString="0" containsNumber="1" containsInteger="1" minValue="37" maxValue="63" count="24">
        <n v="37"/>
        <n v="63"/>
        <n v="38"/>
        <n v="62"/>
        <n v="44"/>
        <n v="56"/>
        <n v="39"/>
        <n v="61"/>
        <n v="48"/>
        <n v="52"/>
        <n v="46"/>
        <n v="54"/>
        <n v="40"/>
        <n v="60"/>
        <n v="45"/>
        <n v="55"/>
        <n v="41"/>
        <n v="59"/>
        <n v="42"/>
        <n v="58"/>
        <n v="49"/>
        <n v="51"/>
        <n v="43"/>
        <n v="57"/>
      </sharedItems>
    </cacheField>
    <cacheField name="gld" numFmtId="0">
      <sharedItems containsSemiMixedTypes="0" containsString="0" containsNumber="1" containsInteger="1" minValue="35" maxValue="65" count="18">
        <n v="56"/>
        <n v="44"/>
        <n v="58"/>
        <n v="42"/>
        <n v="54"/>
        <n v="46"/>
        <n v="57"/>
        <n v="43"/>
        <n v="59"/>
        <n v="41"/>
        <n v="62"/>
        <n v="38"/>
        <n v="63"/>
        <n v="37"/>
        <n v="65"/>
        <n v="35"/>
        <n v="61"/>
        <n v="39"/>
      </sharedItems>
    </cacheField>
    <cacheField name="bil" numFmtId="0">
      <sharedItems containsSemiMixedTypes="0" containsString="0" containsNumber="1" containsInteger="1" minValue="27" maxValue="73" count="16">
        <n v="37"/>
        <n v="63"/>
        <n v="38"/>
        <n v="62"/>
        <n v="28"/>
        <n v="72"/>
        <n v="27"/>
        <n v="73"/>
        <n v="30"/>
        <n v="70"/>
        <n v="31"/>
        <n v="69"/>
        <n v="39"/>
        <n v="61"/>
        <n v="32"/>
        <n v="68"/>
      </sharedItems>
    </cacheField>
    <cacheField name="tip" numFmtId="0">
      <sharedItems containsSemiMixedTypes="0" containsString="0" containsNumber="1" containsInteger="1" minValue="38" maxValue="62" count="20">
        <n v="42"/>
        <n v="58"/>
        <n v="38"/>
        <n v="62"/>
        <n v="39"/>
        <n v="61"/>
        <n v="43"/>
        <n v="57"/>
        <n v="44"/>
        <n v="56"/>
        <n v="45"/>
        <n v="55"/>
        <n v="46"/>
        <n v="54"/>
        <n v="48"/>
        <n v="52"/>
        <n v="49"/>
        <n v="51"/>
        <n v="47"/>
        <n v="53"/>
      </sharedItems>
    </cacheField>
    <cacheField name="spts" numFmtId="0">
      <sharedItems containsSemiMixedTypes="0" containsString="0" containsNumber="1" containsInteger="1" minValue="42" maxValue="58" count="13">
        <n v="48"/>
        <n v="52"/>
        <n v="56"/>
        <n v="44"/>
        <n v="49"/>
        <n v="51"/>
        <n v="45"/>
        <n v="55"/>
        <n v="50"/>
        <n v="54"/>
        <n v="46"/>
        <n v="58"/>
        <n v="42"/>
      </sharedItems>
    </cacheField>
    <cacheField name="spti" numFmtId="0">
      <sharedItems containsSemiMixedTypes="0" containsString="0" containsNumber="1" containsInteger="1" minValue="44" maxValue="56" count="13">
        <n v="44"/>
        <n v="56"/>
        <n v="48"/>
        <n v="52"/>
        <n v="45"/>
        <n v="55"/>
        <n v="46"/>
        <n v="54"/>
        <n v="49"/>
        <n v="51"/>
        <n v="47"/>
        <n v="53"/>
        <n v="50"/>
      </sharedItems>
    </cacheField>
    <cacheField name="naivevol" numFmtId="0">
      <sharedItems containsSemiMixedTypes="0" containsString="0" containsNumber="1" containsInteger="1" minValue="44" maxValue="56" count="13">
        <n v="44"/>
        <n v="56"/>
        <n v="46"/>
        <n v="54"/>
        <n v="52"/>
        <n v="48"/>
        <n v="45"/>
        <n v="55"/>
        <n v="49"/>
        <n v="51"/>
        <n v="47"/>
        <n v="53"/>
        <n v="50"/>
      </sharedItems>
    </cacheField>
    <cacheField name="6040" numFmtId="0">
      <sharedItems containsSemiMixedTypes="0" containsString="0" containsNumber="1" containsInteger="1" minValue="32" maxValue="68" count="24">
        <n v="32"/>
        <n v="68"/>
        <n v="33"/>
        <n v="67"/>
        <n v="34"/>
        <n v="66"/>
        <n v="42"/>
        <n v="58"/>
        <n v="41"/>
        <n v="59"/>
        <n v="35"/>
        <n v="65"/>
        <n v="37"/>
        <n v="63"/>
        <n v="36"/>
        <n v="64"/>
        <n v="38"/>
        <n v="62"/>
        <n v="44"/>
        <n v="56"/>
        <n v="46"/>
        <n v="54"/>
        <n v="48"/>
        <n v="52"/>
      </sharedItems>
    </cacheField>
  </cacheFields>
  <extLst>
    <ext xmlns:x14="http://schemas.microsoft.com/office/spreadsheetml/2009/9/main" uri="{725AE2AE-9491-48be-B2B4-4EB974FC3084}">
      <x14:pivotCacheDefinition pivotCacheId="147785428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cota" refreshedDate="45315.676365856481" createdVersion="8" refreshedVersion="8" minRefreshableVersion="3" recordCount="48" xr:uid="{2A6587A4-4DB9-42B5-96F7-D2E77033059F}">
  <cacheSource type="worksheet">
    <worksheetSource name="Table3"/>
  </cacheSource>
  <cacheFields count="8">
    <cacheField name="ticker" numFmtId="0">
      <sharedItems containsMixedTypes="1" containsNumber="1" containsInteger="1" minValue="6040" maxValue="6040" count="12">
        <s v="bil"/>
        <s v="spy"/>
        <n v="6040"/>
        <s v="xhb"/>
        <s v="spts"/>
        <s v="agg"/>
        <s v="tip"/>
        <s v="spti"/>
        <s v="xme"/>
        <s v="xop"/>
        <s v="naivevol"/>
        <s v="gld"/>
      </sharedItems>
    </cacheField>
    <cacheField name="signame" numFmtId="0">
      <sharedItems count="4">
        <s v="cpi.above"/>
        <s v="nmi.above"/>
        <s v="pmi.above"/>
        <s v="wgt.combo.signal"/>
      </sharedItems>
    </cacheField>
    <cacheField name="base vol" numFmtId="10">
      <sharedItems containsSemiMixedTypes="0" containsString="0" containsNumber="1" minValue="4.0693106260246597E-3" maxValue="0.41590313681207802"/>
    </cacheField>
    <cacheField name="base rtn" numFmtId="10">
      <sharedItems containsSemiMixedTypes="0" containsString="0" containsNumber="1" minValue="2.6043785077317102E-4" maxValue="3.8523280807724498E-2"/>
    </cacheField>
    <cacheField name="base sharpe" numFmtId="2">
      <sharedItems containsSemiMixedTypes="0" containsString="0" containsNumber="1" minValue="1.8087973899151501E-3" maxValue="0.60862506861903298"/>
    </cacheField>
    <cacheField name="wgt vol" numFmtId="10">
      <sharedItems containsSemiMixedTypes="0" containsString="0" containsNumber="1" minValue="1.42589641967529E-3" maxValue="0.25877363686920701"/>
    </cacheField>
    <cacheField name="wgt rtn" numFmtId="10">
      <sharedItems containsSemiMixedTypes="0" containsString="0" containsNumber="1" minValue="-1.68117450106928E-2" maxValue="2.2723610703646601E-2"/>
    </cacheField>
    <cacheField name="wgt sharpe" numFmtId="2">
      <sharedItems containsSemiMixedTypes="0" containsString="0" containsNumber="1" minValue="-0.11382311959793" maxValue="0.3580755598619689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x v="0"/>
    <x v="0"/>
    <x v="0"/>
    <x v="0"/>
    <x v="0"/>
    <x v="0"/>
    <x v="0"/>
    <x v="0"/>
    <x v="0"/>
    <x v="0"/>
    <x v="0"/>
    <x v="0"/>
    <x v="0"/>
    <x v="0"/>
  </r>
  <r>
    <x v="0"/>
    <x v="1"/>
    <x v="0"/>
    <x v="1"/>
    <x v="1"/>
    <x v="1"/>
    <x v="0"/>
    <x v="1"/>
    <x v="1"/>
    <x v="1"/>
    <x v="1"/>
    <x v="1"/>
    <x v="1"/>
    <x v="1"/>
    <x v="1"/>
  </r>
  <r>
    <x v="1"/>
    <x v="0"/>
    <x v="0"/>
    <x v="2"/>
    <x v="0"/>
    <x v="0"/>
    <x v="1"/>
    <x v="0"/>
    <x v="0"/>
    <x v="2"/>
    <x v="0"/>
    <x v="0"/>
    <x v="0"/>
    <x v="0"/>
    <x v="2"/>
  </r>
  <r>
    <x v="1"/>
    <x v="1"/>
    <x v="0"/>
    <x v="3"/>
    <x v="1"/>
    <x v="1"/>
    <x v="2"/>
    <x v="1"/>
    <x v="1"/>
    <x v="3"/>
    <x v="1"/>
    <x v="1"/>
    <x v="1"/>
    <x v="1"/>
    <x v="3"/>
  </r>
  <r>
    <x v="2"/>
    <x v="0"/>
    <x v="0"/>
    <x v="4"/>
    <x v="2"/>
    <x v="0"/>
    <x v="3"/>
    <x v="2"/>
    <x v="2"/>
    <x v="4"/>
    <x v="2"/>
    <x v="2"/>
    <x v="2"/>
    <x v="2"/>
    <x v="4"/>
  </r>
  <r>
    <x v="2"/>
    <x v="1"/>
    <x v="0"/>
    <x v="5"/>
    <x v="3"/>
    <x v="1"/>
    <x v="4"/>
    <x v="3"/>
    <x v="3"/>
    <x v="5"/>
    <x v="3"/>
    <x v="3"/>
    <x v="3"/>
    <x v="3"/>
    <x v="5"/>
  </r>
  <r>
    <x v="0"/>
    <x v="0"/>
    <x v="1"/>
    <x v="2"/>
    <x v="4"/>
    <x v="0"/>
    <x v="0"/>
    <x v="0"/>
    <x v="0"/>
    <x v="0"/>
    <x v="0"/>
    <x v="0"/>
    <x v="4"/>
    <x v="0"/>
    <x v="2"/>
  </r>
  <r>
    <x v="0"/>
    <x v="1"/>
    <x v="1"/>
    <x v="3"/>
    <x v="5"/>
    <x v="1"/>
    <x v="0"/>
    <x v="1"/>
    <x v="1"/>
    <x v="1"/>
    <x v="1"/>
    <x v="1"/>
    <x v="5"/>
    <x v="1"/>
    <x v="3"/>
  </r>
  <r>
    <x v="1"/>
    <x v="0"/>
    <x v="1"/>
    <x v="2"/>
    <x v="0"/>
    <x v="2"/>
    <x v="0"/>
    <x v="0"/>
    <x v="0"/>
    <x v="0"/>
    <x v="0"/>
    <x v="0"/>
    <x v="0"/>
    <x v="0"/>
    <x v="2"/>
  </r>
  <r>
    <x v="1"/>
    <x v="1"/>
    <x v="1"/>
    <x v="3"/>
    <x v="1"/>
    <x v="3"/>
    <x v="0"/>
    <x v="1"/>
    <x v="1"/>
    <x v="1"/>
    <x v="1"/>
    <x v="1"/>
    <x v="1"/>
    <x v="1"/>
    <x v="3"/>
  </r>
  <r>
    <x v="2"/>
    <x v="0"/>
    <x v="1"/>
    <x v="6"/>
    <x v="4"/>
    <x v="4"/>
    <x v="5"/>
    <x v="4"/>
    <x v="4"/>
    <x v="6"/>
    <x v="4"/>
    <x v="4"/>
    <x v="4"/>
    <x v="4"/>
    <x v="6"/>
  </r>
  <r>
    <x v="2"/>
    <x v="1"/>
    <x v="1"/>
    <x v="7"/>
    <x v="5"/>
    <x v="5"/>
    <x v="6"/>
    <x v="5"/>
    <x v="5"/>
    <x v="7"/>
    <x v="5"/>
    <x v="5"/>
    <x v="5"/>
    <x v="5"/>
    <x v="7"/>
  </r>
  <r>
    <x v="0"/>
    <x v="0"/>
    <x v="2"/>
    <x v="4"/>
    <x v="4"/>
    <x v="0"/>
    <x v="1"/>
    <x v="2"/>
    <x v="6"/>
    <x v="0"/>
    <x v="6"/>
    <x v="0"/>
    <x v="6"/>
    <x v="6"/>
    <x v="4"/>
  </r>
  <r>
    <x v="0"/>
    <x v="1"/>
    <x v="2"/>
    <x v="5"/>
    <x v="5"/>
    <x v="1"/>
    <x v="2"/>
    <x v="3"/>
    <x v="7"/>
    <x v="1"/>
    <x v="7"/>
    <x v="1"/>
    <x v="7"/>
    <x v="7"/>
    <x v="5"/>
  </r>
  <r>
    <x v="1"/>
    <x v="0"/>
    <x v="2"/>
    <x v="2"/>
    <x v="4"/>
    <x v="2"/>
    <x v="1"/>
    <x v="2"/>
    <x v="0"/>
    <x v="0"/>
    <x v="0"/>
    <x v="0"/>
    <x v="4"/>
    <x v="0"/>
    <x v="2"/>
  </r>
  <r>
    <x v="1"/>
    <x v="1"/>
    <x v="2"/>
    <x v="3"/>
    <x v="5"/>
    <x v="3"/>
    <x v="2"/>
    <x v="3"/>
    <x v="1"/>
    <x v="1"/>
    <x v="1"/>
    <x v="1"/>
    <x v="5"/>
    <x v="1"/>
    <x v="3"/>
  </r>
  <r>
    <x v="2"/>
    <x v="0"/>
    <x v="2"/>
    <x v="6"/>
    <x v="6"/>
    <x v="3"/>
    <x v="5"/>
    <x v="4"/>
    <x v="8"/>
    <x v="8"/>
    <x v="8"/>
    <x v="0"/>
    <x v="2"/>
    <x v="4"/>
    <x v="6"/>
  </r>
  <r>
    <x v="2"/>
    <x v="1"/>
    <x v="2"/>
    <x v="7"/>
    <x v="7"/>
    <x v="2"/>
    <x v="6"/>
    <x v="5"/>
    <x v="9"/>
    <x v="9"/>
    <x v="9"/>
    <x v="1"/>
    <x v="3"/>
    <x v="5"/>
    <x v="7"/>
  </r>
  <r>
    <x v="0"/>
    <x v="0"/>
    <x v="3"/>
    <x v="4"/>
    <x v="2"/>
    <x v="0"/>
    <x v="1"/>
    <x v="6"/>
    <x v="6"/>
    <x v="2"/>
    <x v="6"/>
    <x v="0"/>
    <x v="6"/>
    <x v="2"/>
    <x v="4"/>
  </r>
  <r>
    <x v="0"/>
    <x v="1"/>
    <x v="3"/>
    <x v="5"/>
    <x v="3"/>
    <x v="1"/>
    <x v="2"/>
    <x v="7"/>
    <x v="7"/>
    <x v="3"/>
    <x v="7"/>
    <x v="1"/>
    <x v="7"/>
    <x v="3"/>
    <x v="5"/>
  </r>
  <r>
    <x v="1"/>
    <x v="0"/>
    <x v="3"/>
    <x v="4"/>
    <x v="2"/>
    <x v="0"/>
    <x v="1"/>
    <x v="2"/>
    <x v="0"/>
    <x v="2"/>
    <x v="0"/>
    <x v="0"/>
    <x v="4"/>
    <x v="6"/>
    <x v="4"/>
  </r>
  <r>
    <x v="1"/>
    <x v="1"/>
    <x v="3"/>
    <x v="5"/>
    <x v="3"/>
    <x v="1"/>
    <x v="2"/>
    <x v="3"/>
    <x v="1"/>
    <x v="3"/>
    <x v="1"/>
    <x v="1"/>
    <x v="5"/>
    <x v="7"/>
    <x v="5"/>
  </r>
  <r>
    <x v="2"/>
    <x v="0"/>
    <x v="3"/>
    <x v="8"/>
    <x v="8"/>
    <x v="2"/>
    <x v="5"/>
    <x v="8"/>
    <x v="8"/>
    <x v="10"/>
    <x v="10"/>
    <x v="0"/>
    <x v="8"/>
    <x v="4"/>
    <x v="8"/>
  </r>
  <r>
    <x v="2"/>
    <x v="1"/>
    <x v="3"/>
    <x v="9"/>
    <x v="9"/>
    <x v="3"/>
    <x v="6"/>
    <x v="9"/>
    <x v="9"/>
    <x v="11"/>
    <x v="11"/>
    <x v="1"/>
    <x v="9"/>
    <x v="5"/>
    <x v="9"/>
  </r>
  <r>
    <x v="0"/>
    <x v="0"/>
    <x v="4"/>
    <x v="10"/>
    <x v="2"/>
    <x v="0"/>
    <x v="1"/>
    <x v="6"/>
    <x v="6"/>
    <x v="2"/>
    <x v="6"/>
    <x v="0"/>
    <x v="6"/>
    <x v="2"/>
    <x v="10"/>
  </r>
  <r>
    <x v="0"/>
    <x v="1"/>
    <x v="4"/>
    <x v="11"/>
    <x v="3"/>
    <x v="1"/>
    <x v="2"/>
    <x v="7"/>
    <x v="7"/>
    <x v="3"/>
    <x v="7"/>
    <x v="1"/>
    <x v="7"/>
    <x v="3"/>
    <x v="11"/>
  </r>
  <r>
    <x v="1"/>
    <x v="0"/>
    <x v="4"/>
    <x v="10"/>
    <x v="2"/>
    <x v="0"/>
    <x v="1"/>
    <x v="6"/>
    <x v="0"/>
    <x v="2"/>
    <x v="0"/>
    <x v="0"/>
    <x v="4"/>
    <x v="2"/>
    <x v="10"/>
  </r>
  <r>
    <x v="1"/>
    <x v="1"/>
    <x v="4"/>
    <x v="11"/>
    <x v="3"/>
    <x v="1"/>
    <x v="2"/>
    <x v="7"/>
    <x v="1"/>
    <x v="3"/>
    <x v="1"/>
    <x v="1"/>
    <x v="5"/>
    <x v="3"/>
    <x v="11"/>
  </r>
  <r>
    <x v="2"/>
    <x v="0"/>
    <x v="4"/>
    <x v="8"/>
    <x v="10"/>
    <x v="6"/>
    <x v="7"/>
    <x v="10"/>
    <x v="2"/>
    <x v="10"/>
    <x v="12"/>
    <x v="6"/>
    <x v="4"/>
    <x v="4"/>
    <x v="8"/>
  </r>
  <r>
    <x v="2"/>
    <x v="1"/>
    <x v="4"/>
    <x v="9"/>
    <x v="11"/>
    <x v="7"/>
    <x v="8"/>
    <x v="11"/>
    <x v="3"/>
    <x v="11"/>
    <x v="13"/>
    <x v="7"/>
    <x v="5"/>
    <x v="5"/>
    <x v="9"/>
  </r>
  <r>
    <x v="0"/>
    <x v="0"/>
    <x v="5"/>
    <x v="10"/>
    <x v="12"/>
    <x v="0"/>
    <x v="1"/>
    <x v="12"/>
    <x v="6"/>
    <x v="12"/>
    <x v="6"/>
    <x v="4"/>
    <x v="6"/>
    <x v="2"/>
    <x v="10"/>
  </r>
  <r>
    <x v="0"/>
    <x v="1"/>
    <x v="5"/>
    <x v="11"/>
    <x v="13"/>
    <x v="1"/>
    <x v="2"/>
    <x v="13"/>
    <x v="7"/>
    <x v="13"/>
    <x v="7"/>
    <x v="5"/>
    <x v="7"/>
    <x v="3"/>
    <x v="11"/>
  </r>
  <r>
    <x v="1"/>
    <x v="0"/>
    <x v="5"/>
    <x v="10"/>
    <x v="2"/>
    <x v="0"/>
    <x v="1"/>
    <x v="12"/>
    <x v="0"/>
    <x v="2"/>
    <x v="6"/>
    <x v="4"/>
    <x v="6"/>
    <x v="2"/>
    <x v="10"/>
  </r>
  <r>
    <x v="1"/>
    <x v="1"/>
    <x v="5"/>
    <x v="11"/>
    <x v="3"/>
    <x v="1"/>
    <x v="2"/>
    <x v="13"/>
    <x v="1"/>
    <x v="3"/>
    <x v="7"/>
    <x v="5"/>
    <x v="7"/>
    <x v="3"/>
    <x v="11"/>
  </r>
  <r>
    <x v="2"/>
    <x v="0"/>
    <x v="5"/>
    <x v="12"/>
    <x v="6"/>
    <x v="1"/>
    <x v="9"/>
    <x v="14"/>
    <x v="2"/>
    <x v="14"/>
    <x v="14"/>
    <x v="5"/>
    <x v="2"/>
    <x v="6"/>
    <x v="12"/>
  </r>
  <r>
    <x v="2"/>
    <x v="1"/>
    <x v="5"/>
    <x v="13"/>
    <x v="7"/>
    <x v="0"/>
    <x v="10"/>
    <x v="15"/>
    <x v="3"/>
    <x v="15"/>
    <x v="15"/>
    <x v="4"/>
    <x v="3"/>
    <x v="7"/>
    <x v="13"/>
  </r>
  <r>
    <x v="0"/>
    <x v="0"/>
    <x v="6"/>
    <x v="10"/>
    <x v="12"/>
    <x v="0"/>
    <x v="1"/>
    <x v="12"/>
    <x v="6"/>
    <x v="12"/>
    <x v="8"/>
    <x v="8"/>
    <x v="10"/>
    <x v="2"/>
    <x v="10"/>
  </r>
  <r>
    <x v="0"/>
    <x v="1"/>
    <x v="6"/>
    <x v="11"/>
    <x v="13"/>
    <x v="1"/>
    <x v="2"/>
    <x v="13"/>
    <x v="7"/>
    <x v="13"/>
    <x v="9"/>
    <x v="8"/>
    <x v="11"/>
    <x v="3"/>
    <x v="11"/>
  </r>
  <r>
    <x v="1"/>
    <x v="0"/>
    <x v="6"/>
    <x v="10"/>
    <x v="12"/>
    <x v="0"/>
    <x v="1"/>
    <x v="12"/>
    <x v="0"/>
    <x v="2"/>
    <x v="8"/>
    <x v="4"/>
    <x v="10"/>
    <x v="2"/>
    <x v="10"/>
  </r>
  <r>
    <x v="1"/>
    <x v="1"/>
    <x v="6"/>
    <x v="11"/>
    <x v="13"/>
    <x v="1"/>
    <x v="2"/>
    <x v="13"/>
    <x v="1"/>
    <x v="3"/>
    <x v="9"/>
    <x v="5"/>
    <x v="11"/>
    <x v="3"/>
    <x v="11"/>
  </r>
  <r>
    <x v="2"/>
    <x v="0"/>
    <x v="6"/>
    <x v="8"/>
    <x v="2"/>
    <x v="6"/>
    <x v="3"/>
    <x v="4"/>
    <x v="0"/>
    <x v="8"/>
    <x v="10"/>
    <x v="4"/>
    <x v="6"/>
    <x v="8"/>
    <x v="8"/>
  </r>
  <r>
    <x v="2"/>
    <x v="1"/>
    <x v="6"/>
    <x v="9"/>
    <x v="3"/>
    <x v="7"/>
    <x v="4"/>
    <x v="5"/>
    <x v="1"/>
    <x v="9"/>
    <x v="11"/>
    <x v="5"/>
    <x v="7"/>
    <x v="9"/>
    <x v="9"/>
  </r>
  <r>
    <x v="0"/>
    <x v="0"/>
    <x v="7"/>
    <x v="14"/>
    <x v="12"/>
    <x v="8"/>
    <x v="11"/>
    <x v="16"/>
    <x v="6"/>
    <x v="12"/>
    <x v="8"/>
    <x v="8"/>
    <x v="10"/>
    <x v="10"/>
    <x v="14"/>
  </r>
  <r>
    <x v="0"/>
    <x v="1"/>
    <x v="7"/>
    <x v="15"/>
    <x v="13"/>
    <x v="9"/>
    <x v="12"/>
    <x v="17"/>
    <x v="7"/>
    <x v="13"/>
    <x v="9"/>
    <x v="8"/>
    <x v="11"/>
    <x v="11"/>
    <x v="15"/>
  </r>
  <r>
    <x v="1"/>
    <x v="0"/>
    <x v="7"/>
    <x v="10"/>
    <x v="12"/>
    <x v="8"/>
    <x v="1"/>
    <x v="12"/>
    <x v="0"/>
    <x v="2"/>
    <x v="8"/>
    <x v="4"/>
    <x v="10"/>
    <x v="10"/>
    <x v="10"/>
  </r>
  <r>
    <x v="1"/>
    <x v="1"/>
    <x v="7"/>
    <x v="11"/>
    <x v="13"/>
    <x v="9"/>
    <x v="2"/>
    <x v="13"/>
    <x v="1"/>
    <x v="3"/>
    <x v="9"/>
    <x v="5"/>
    <x v="11"/>
    <x v="11"/>
    <x v="11"/>
  </r>
  <r>
    <x v="2"/>
    <x v="0"/>
    <x v="7"/>
    <x v="16"/>
    <x v="8"/>
    <x v="4"/>
    <x v="9"/>
    <x v="4"/>
    <x v="10"/>
    <x v="10"/>
    <x v="10"/>
    <x v="9"/>
    <x v="9"/>
    <x v="6"/>
    <x v="16"/>
  </r>
  <r>
    <x v="2"/>
    <x v="1"/>
    <x v="7"/>
    <x v="17"/>
    <x v="9"/>
    <x v="5"/>
    <x v="10"/>
    <x v="5"/>
    <x v="11"/>
    <x v="11"/>
    <x v="11"/>
    <x v="10"/>
    <x v="8"/>
    <x v="7"/>
    <x v="17"/>
  </r>
  <r>
    <x v="0"/>
    <x v="0"/>
    <x v="8"/>
    <x v="12"/>
    <x v="6"/>
    <x v="4"/>
    <x v="11"/>
    <x v="16"/>
    <x v="6"/>
    <x v="12"/>
    <x v="10"/>
    <x v="8"/>
    <x v="2"/>
    <x v="5"/>
    <x v="12"/>
  </r>
  <r>
    <x v="0"/>
    <x v="1"/>
    <x v="8"/>
    <x v="13"/>
    <x v="7"/>
    <x v="5"/>
    <x v="12"/>
    <x v="17"/>
    <x v="7"/>
    <x v="13"/>
    <x v="11"/>
    <x v="8"/>
    <x v="3"/>
    <x v="4"/>
    <x v="13"/>
  </r>
  <r>
    <x v="1"/>
    <x v="0"/>
    <x v="8"/>
    <x v="14"/>
    <x v="6"/>
    <x v="8"/>
    <x v="1"/>
    <x v="12"/>
    <x v="6"/>
    <x v="2"/>
    <x v="8"/>
    <x v="8"/>
    <x v="10"/>
    <x v="10"/>
    <x v="14"/>
  </r>
  <r>
    <x v="1"/>
    <x v="1"/>
    <x v="8"/>
    <x v="15"/>
    <x v="7"/>
    <x v="9"/>
    <x v="2"/>
    <x v="13"/>
    <x v="7"/>
    <x v="3"/>
    <x v="9"/>
    <x v="8"/>
    <x v="11"/>
    <x v="11"/>
    <x v="15"/>
  </r>
  <r>
    <x v="2"/>
    <x v="0"/>
    <x v="8"/>
    <x v="18"/>
    <x v="14"/>
    <x v="0"/>
    <x v="9"/>
    <x v="10"/>
    <x v="12"/>
    <x v="10"/>
    <x v="16"/>
    <x v="11"/>
    <x v="5"/>
    <x v="4"/>
    <x v="18"/>
  </r>
  <r>
    <x v="2"/>
    <x v="1"/>
    <x v="8"/>
    <x v="19"/>
    <x v="15"/>
    <x v="1"/>
    <x v="10"/>
    <x v="11"/>
    <x v="13"/>
    <x v="11"/>
    <x v="17"/>
    <x v="12"/>
    <x v="4"/>
    <x v="5"/>
    <x v="19"/>
  </r>
  <r>
    <x v="0"/>
    <x v="0"/>
    <x v="9"/>
    <x v="12"/>
    <x v="10"/>
    <x v="4"/>
    <x v="11"/>
    <x v="16"/>
    <x v="2"/>
    <x v="12"/>
    <x v="10"/>
    <x v="8"/>
    <x v="2"/>
    <x v="5"/>
    <x v="12"/>
  </r>
  <r>
    <x v="0"/>
    <x v="1"/>
    <x v="9"/>
    <x v="13"/>
    <x v="11"/>
    <x v="5"/>
    <x v="12"/>
    <x v="17"/>
    <x v="3"/>
    <x v="13"/>
    <x v="11"/>
    <x v="8"/>
    <x v="3"/>
    <x v="4"/>
    <x v="13"/>
  </r>
  <r>
    <x v="1"/>
    <x v="0"/>
    <x v="9"/>
    <x v="12"/>
    <x v="6"/>
    <x v="4"/>
    <x v="11"/>
    <x v="16"/>
    <x v="2"/>
    <x v="2"/>
    <x v="8"/>
    <x v="8"/>
    <x v="2"/>
    <x v="5"/>
    <x v="12"/>
  </r>
  <r>
    <x v="1"/>
    <x v="1"/>
    <x v="9"/>
    <x v="13"/>
    <x v="7"/>
    <x v="5"/>
    <x v="12"/>
    <x v="17"/>
    <x v="3"/>
    <x v="3"/>
    <x v="9"/>
    <x v="8"/>
    <x v="3"/>
    <x v="4"/>
    <x v="13"/>
  </r>
  <r>
    <x v="2"/>
    <x v="0"/>
    <x v="9"/>
    <x v="20"/>
    <x v="9"/>
    <x v="6"/>
    <x v="7"/>
    <x v="14"/>
    <x v="12"/>
    <x v="10"/>
    <x v="17"/>
    <x v="11"/>
    <x v="5"/>
    <x v="3"/>
    <x v="20"/>
  </r>
  <r>
    <x v="2"/>
    <x v="1"/>
    <x v="9"/>
    <x v="21"/>
    <x v="8"/>
    <x v="7"/>
    <x v="8"/>
    <x v="15"/>
    <x v="13"/>
    <x v="11"/>
    <x v="16"/>
    <x v="12"/>
    <x v="4"/>
    <x v="2"/>
    <x v="21"/>
  </r>
  <r>
    <x v="0"/>
    <x v="0"/>
    <x v="10"/>
    <x v="16"/>
    <x v="8"/>
    <x v="6"/>
    <x v="13"/>
    <x v="18"/>
    <x v="8"/>
    <x v="12"/>
    <x v="12"/>
    <x v="8"/>
    <x v="8"/>
    <x v="8"/>
    <x v="16"/>
  </r>
  <r>
    <x v="0"/>
    <x v="1"/>
    <x v="10"/>
    <x v="17"/>
    <x v="9"/>
    <x v="7"/>
    <x v="14"/>
    <x v="19"/>
    <x v="9"/>
    <x v="13"/>
    <x v="13"/>
    <x v="8"/>
    <x v="9"/>
    <x v="9"/>
    <x v="17"/>
  </r>
  <r>
    <x v="1"/>
    <x v="0"/>
    <x v="10"/>
    <x v="16"/>
    <x v="10"/>
    <x v="6"/>
    <x v="13"/>
    <x v="18"/>
    <x v="2"/>
    <x v="2"/>
    <x v="10"/>
    <x v="8"/>
    <x v="8"/>
    <x v="8"/>
    <x v="16"/>
  </r>
  <r>
    <x v="1"/>
    <x v="1"/>
    <x v="10"/>
    <x v="17"/>
    <x v="11"/>
    <x v="7"/>
    <x v="14"/>
    <x v="19"/>
    <x v="3"/>
    <x v="3"/>
    <x v="11"/>
    <x v="8"/>
    <x v="9"/>
    <x v="9"/>
    <x v="17"/>
  </r>
  <r>
    <x v="2"/>
    <x v="0"/>
    <x v="10"/>
    <x v="20"/>
    <x v="11"/>
    <x v="10"/>
    <x v="7"/>
    <x v="20"/>
    <x v="14"/>
    <x v="6"/>
    <x v="11"/>
    <x v="11"/>
    <x v="1"/>
    <x v="3"/>
    <x v="20"/>
  </r>
  <r>
    <x v="2"/>
    <x v="1"/>
    <x v="10"/>
    <x v="21"/>
    <x v="10"/>
    <x v="11"/>
    <x v="8"/>
    <x v="21"/>
    <x v="15"/>
    <x v="7"/>
    <x v="10"/>
    <x v="12"/>
    <x v="0"/>
    <x v="2"/>
    <x v="21"/>
  </r>
  <r>
    <x v="0"/>
    <x v="0"/>
    <x v="11"/>
    <x v="16"/>
    <x v="8"/>
    <x v="6"/>
    <x v="9"/>
    <x v="22"/>
    <x v="8"/>
    <x v="12"/>
    <x v="12"/>
    <x v="8"/>
    <x v="8"/>
    <x v="8"/>
    <x v="16"/>
  </r>
  <r>
    <x v="0"/>
    <x v="1"/>
    <x v="11"/>
    <x v="17"/>
    <x v="9"/>
    <x v="7"/>
    <x v="10"/>
    <x v="23"/>
    <x v="9"/>
    <x v="13"/>
    <x v="13"/>
    <x v="8"/>
    <x v="9"/>
    <x v="9"/>
    <x v="17"/>
  </r>
  <r>
    <x v="1"/>
    <x v="0"/>
    <x v="11"/>
    <x v="16"/>
    <x v="10"/>
    <x v="6"/>
    <x v="13"/>
    <x v="18"/>
    <x v="2"/>
    <x v="12"/>
    <x v="12"/>
    <x v="8"/>
    <x v="8"/>
    <x v="8"/>
    <x v="16"/>
  </r>
  <r>
    <x v="1"/>
    <x v="1"/>
    <x v="11"/>
    <x v="17"/>
    <x v="11"/>
    <x v="7"/>
    <x v="14"/>
    <x v="19"/>
    <x v="3"/>
    <x v="13"/>
    <x v="13"/>
    <x v="8"/>
    <x v="9"/>
    <x v="9"/>
    <x v="17"/>
  </r>
  <r>
    <x v="2"/>
    <x v="0"/>
    <x v="11"/>
    <x v="22"/>
    <x v="9"/>
    <x v="12"/>
    <x v="15"/>
    <x v="21"/>
    <x v="16"/>
    <x v="4"/>
    <x v="11"/>
    <x v="5"/>
    <x v="9"/>
    <x v="3"/>
    <x v="22"/>
  </r>
  <r>
    <x v="2"/>
    <x v="1"/>
    <x v="11"/>
    <x v="23"/>
    <x v="8"/>
    <x v="13"/>
    <x v="16"/>
    <x v="20"/>
    <x v="17"/>
    <x v="5"/>
    <x v="10"/>
    <x v="4"/>
    <x v="8"/>
    <x v="2"/>
    <x v="23"/>
  </r>
  <r>
    <x v="0"/>
    <x v="0"/>
    <x v="12"/>
    <x v="16"/>
    <x v="8"/>
    <x v="6"/>
    <x v="9"/>
    <x v="22"/>
    <x v="8"/>
    <x v="12"/>
    <x v="18"/>
    <x v="5"/>
    <x v="12"/>
    <x v="12"/>
    <x v="16"/>
  </r>
  <r>
    <x v="0"/>
    <x v="1"/>
    <x v="12"/>
    <x v="17"/>
    <x v="9"/>
    <x v="7"/>
    <x v="10"/>
    <x v="23"/>
    <x v="9"/>
    <x v="13"/>
    <x v="19"/>
    <x v="4"/>
    <x v="12"/>
    <x v="12"/>
    <x v="17"/>
  </r>
  <r>
    <x v="1"/>
    <x v="0"/>
    <x v="12"/>
    <x v="16"/>
    <x v="8"/>
    <x v="6"/>
    <x v="13"/>
    <x v="18"/>
    <x v="2"/>
    <x v="12"/>
    <x v="18"/>
    <x v="5"/>
    <x v="8"/>
    <x v="8"/>
    <x v="16"/>
  </r>
  <r>
    <x v="1"/>
    <x v="1"/>
    <x v="12"/>
    <x v="17"/>
    <x v="9"/>
    <x v="7"/>
    <x v="14"/>
    <x v="19"/>
    <x v="3"/>
    <x v="13"/>
    <x v="19"/>
    <x v="4"/>
    <x v="9"/>
    <x v="9"/>
    <x v="17"/>
  </r>
  <r>
    <x v="2"/>
    <x v="0"/>
    <x v="12"/>
    <x v="8"/>
    <x v="9"/>
    <x v="10"/>
    <x v="7"/>
    <x v="20"/>
    <x v="10"/>
    <x v="14"/>
    <x v="11"/>
    <x v="1"/>
    <x v="5"/>
    <x v="8"/>
    <x v="8"/>
  </r>
  <r>
    <x v="2"/>
    <x v="1"/>
    <x v="12"/>
    <x v="9"/>
    <x v="8"/>
    <x v="11"/>
    <x v="8"/>
    <x v="21"/>
    <x v="11"/>
    <x v="15"/>
    <x v="10"/>
    <x v="0"/>
    <x v="4"/>
    <x v="9"/>
    <x v="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n v="4.0693106260246597E-3"/>
    <n v="2.4766844589964102E-3"/>
    <n v="0.60862506861903298"/>
    <n v="1.42589641967529E-3"/>
    <n v="5.1057865878040905E-4"/>
    <n v="0.35807555986196898"/>
  </r>
  <r>
    <x v="0"/>
    <x v="1"/>
    <n v="4.0693106260246597E-3"/>
    <n v="2.4766844589964102E-3"/>
    <n v="0.60862506861903298"/>
    <n v="1.9717936261353201E-3"/>
    <n v="6.5230386162152198E-4"/>
    <n v="0.330817512023317"/>
  </r>
  <r>
    <x v="1"/>
    <x v="2"/>
    <n v="0.15121889015795101"/>
    <n v="3.2714235760736003E-2"/>
    <n v="0.21633696508792799"/>
    <n v="7.1193312837567593E-2"/>
    <n v="2.2723610703646601E-2"/>
    <n v="0.31918181354324798"/>
  </r>
  <r>
    <x v="2"/>
    <x v="2"/>
    <n v="0.118851242315221"/>
    <n v="2.49019585326344E-2"/>
    <n v="0.209522071856755"/>
    <n v="5.4575067447404001E-2"/>
    <n v="1.65852768866948E-2"/>
    <n v="0.30389842216280699"/>
  </r>
  <r>
    <x v="0"/>
    <x v="3"/>
    <n v="4.0693106260246597E-3"/>
    <n v="2.4766844589964102E-3"/>
    <n v="0.60862506861903298"/>
    <n v="2.4853721872499998E-3"/>
    <n v="7.0564799741992497E-4"/>
    <n v="0.28392045305725599"/>
  </r>
  <r>
    <x v="0"/>
    <x v="2"/>
    <n v="4.0693106260246597E-3"/>
    <n v="2.4766844589964102E-3"/>
    <n v="0.60862506861903298"/>
    <n v="2.0937011625001799E-3"/>
    <n v="5.8065252126902303E-4"/>
    <n v="0.27733304621927901"/>
  </r>
  <r>
    <x v="2"/>
    <x v="1"/>
    <n v="0.118851242315221"/>
    <n v="2.49019585326344E-2"/>
    <n v="0.209522071856755"/>
    <n v="5.6624850620546001E-2"/>
    <n v="1.22371184208165E-2"/>
    <n v="0.21610862168661299"/>
  </r>
  <r>
    <x v="1"/>
    <x v="1"/>
    <n v="0.15121889015795101"/>
    <n v="3.2714235760736003E-2"/>
    <n v="0.21633696508792799"/>
    <n v="7.5226502983494897E-2"/>
    <n v="1.6181903427408901E-2"/>
    <n v="0.21510907440372901"/>
  </r>
  <r>
    <x v="2"/>
    <x v="3"/>
    <n v="0.118851242315221"/>
    <n v="2.49019585326344E-2"/>
    <n v="0.209522071856755"/>
    <n v="6.9834318254527405E-2"/>
    <n v="1.2888104925043E-2"/>
    <n v="0.18455259888224801"/>
  </r>
  <r>
    <x v="1"/>
    <x v="3"/>
    <n v="0.15121889015795101"/>
    <n v="3.2714235760736003E-2"/>
    <n v="0.21633696508792799"/>
    <n v="9.2923712587594604E-2"/>
    <n v="1.6801490740986601E-2"/>
    <n v="0.180809507854615"/>
  </r>
  <r>
    <x v="3"/>
    <x v="2"/>
    <n v="0.245334675441674"/>
    <n v="3.8523280807724498E-2"/>
    <n v="0.157023383418472"/>
    <n v="0.125323691497326"/>
    <n v="2.1649441977052299E-2"/>
    <n v="0.172748198831297"/>
  </r>
  <r>
    <x v="3"/>
    <x v="3"/>
    <n v="0.245334675441674"/>
    <n v="3.8523280807724498E-2"/>
    <n v="0.157023383418472"/>
    <n v="0.14762312500738001"/>
    <n v="2.0312350875994901E-2"/>
    <n v="0.13759599571530101"/>
  </r>
  <r>
    <x v="4"/>
    <x v="3"/>
    <n v="2.30992896024283E-2"/>
    <n v="3.8680032352750898E-3"/>
    <n v="0.167451177150853"/>
    <n v="1.9262534559715799E-2"/>
    <n v="2.5575280309557799E-3"/>
    <n v="0.13277214496499201"/>
  </r>
  <r>
    <x v="3"/>
    <x v="1"/>
    <n v="0.245334675441674"/>
    <n v="3.8523280807724498E-2"/>
    <n v="0.157023383418472"/>
    <n v="0.124836121252401"/>
    <n v="1.5522975231942199E-2"/>
    <n v="0.124346824270172"/>
  </r>
  <r>
    <x v="5"/>
    <x v="3"/>
    <n v="4.31428166488943E-2"/>
    <n v="4.1177091609259104E-3"/>
    <n v="9.5443679406394297E-2"/>
    <n v="2.37150143120624E-2"/>
    <n v="2.9233701168990401E-3"/>
    <n v="0.123270856109587"/>
  </r>
  <r>
    <x v="4"/>
    <x v="1"/>
    <n v="2.30992896024283E-2"/>
    <n v="3.8680032352750898E-3"/>
    <n v="0.167451177150853"/>
    <n v="1.8494814645828899E-2"/>
    <n v="2.2572163283215798E-3"/>
    <n v="0.122045901597107"/>
  </r>
  <r>
    <x v="6"/>
    <x v="1"/>
    <n v="4.7652991009154801E-2"/>
    <n v="4.7374184351321597E-3"/>
    <n v="9.9414923067935701E-2"/>
    <n v="2.66106483359441E-2"/>
    <n v="3.1366533561864901E-3"/>
    <n v="0.117872113320504"/>
  </r>
  <r>
    <x v="4"/>
    <x v="2"/>
    <n v="2.30992896024283E-2"/>
    <n v="3.8680032352750898E-3"/>
    <n v="0.167451177150853"/>
    <n v="1.8615578027829899E-2"/>
    <n v="2.07795192470391E-3"/>
    <n v="0.11162435684765799"/>
  </r>
  <r>
    <x v="5"/>
    <x v="1"/>
    <n v="4.31428166488943E-2"/>
    <n v="4.1177091609259104E-3"/>
    <n v="9.5443679406394297E-2"/>
    <n v="1.9975403155284299E-2"/>
    <n v="2.1763316710763899E-3"/>
    <n v="0.10895057557327199"/>
  </r>
  <r>
    <x v="6"/>
    <x v="3"/>
    <n v="4.7652991009154801E-2"/>
    <n v="4.7374184351321597E-3"/>
    <n v="9.9414923067935701E-2"/>
    <n v="3.2122899905281603E-2"/>
    <n v="3.4887615371568398E-3"/>
    <n v="0.10860668082408099"/>
  </r>
  <r>
    <x v="7"/>
    <x v="3"/>
    <n v="3.7129319323325798E-2"/>
    <n v="2.98784677435279E-3"/>
    <n v="8.0471358721508596E-2"/>
    <n v="2.0159518450334198E-2"/>
    <n v="2.1737423574739599E-3"/>
    <n v="0.107827097300427"/>
  </r>
  <r>
    <x v="8"/>
    <x v="2"/>
    <n v="0.32127581638574099"/>
    <n v="9.2290107015523103E-3"/>
    <n v="2.8726129483930499E-2"/>
    <n v="0.19576627882550099"/>
    <n v="1.9570660087283E-2"/>
    <n v="9.9969515713825494E-2"/>
  </r>
  <r>
    <x v="9"/>
    <x v="2"/>
    <n v="0.41590313681207802"/>
    <n v="1.4674631905797099E-2"/>
    <n v="3.5283773087837297E-2"/>
    <n v="0.21688470194175299"/>
    <n v="1.9794945283218301E-2"/>
    <n v="9.1269439965085894E-2"/>
  </r>
  <r>
    <x v="6"/>
    <x v="0"/>
    <n v="4.7652991009154801E-2"/>
    <n v="4.7374184351321597E-3"/>
    <n v="9.9414923067935701E-2"/>
    <n v="3.1192225330731401E-2"/>
    <n v="2.7352168323652301E-3"/>
    <n v="8.7689057236657694E-2"/>
  </r>
  <r>
    <x v="7"/>
    <x v="1"/>
    <n v="3.7129319323325798E-2"/>
    <n v="2.98784677435279E-3"/>
    <n v="8.0471358721508596E-2"/>
    <n v="1.6913520667555901E-2"/>
    <n v="1.4367078884222301E-3"/>
    <n v="8.4944342260932601E-2"/>
  </r>
  <r>
    <x v="1"/>
    <x v="0"/>
    <n v="0.15121889015795101"/>
    <n v="3.2714235760736003E-2"/>
    <n v="0.21633696508792799"/>
    <n v="8.7894889233642803E-2"/>
    <n v="7.1618468968603702E-3"/>
    <n v="8.1481949170249299E-2"/>
  </r>
  <r>
    <x v="5"/>
    <x v="2"/>
    <n v="4.31428166488943E-2"/>
    <n v="4.1177091609259104E-3"/>
    <n v="9.5443679406394297E-2"/>
    <n v="2.1146000604050998E-2"/>
    <n v="1.6380105757272301E-3"/>
    <n v="7.7461956348068503E-2"/>
  </r>
  <r>
    <x v="2"/>
    <x v="0"/>
    <n v="0.118851242315221"/>
    <n v="2.49019585326344E-2"/>
    <n v="0.209522071856755"/>
    <n v="7.0105390751852001E-2"/>
    <n v="5.2850139380322099E-3"/>
    <n v="7.53866982460632E-2"/>
  </r>
  <r>
    <x v="6"/>
    <x v="2"/>
    <n v="4.7652991009154801E-2"/>
    <n v="4.7374184351321597E-3"/>
    <n v="9.9414923067935701E-2"/>
    <n v="2.8600802366232199E-2"/>
    <n v="2.1296571561263298E-3"/>
    <n v="7.4461447929192695E-2"/>
  </r>
  <r>
    <x v="9"/>
    <x v="0"/>
    <n v="0.41590313681207802"/>
    <n v="1.4674631905797099E-2"/>
    <n v="3.5283773087837297E-2"/>
    <n v="0.25877363686920701"/>
    <n v="1.8880473263012201E-2"/>
    <n v="7.2961347575583896E-2"/>
  </r>
  <r>
    <x v="4"/>
    <x v="0"/>
    <n v="2.30992896024283E-2"/>
    <n v="3.8680032352750898E-3"/>
    <n v="0.167451177150853"/>
    <n v="1.9706081327694799E-2"/>
    <n v="1.2352339214024501E-3"/>
    <n v="6.2682879506158307E-2"/>
  </r>
  <r>
    <x v="10"/>
    <x v="2"/>
    <n v="0.19993388214312299"/>
    <n v="1.70104920534036E-2"/>
    <n v="8.5080586997388602E-2"/>
    <n v="0.138604621420271"/>
    <n v="8.5985446032276602E-3"/>
    <n v="6.2036492832049997E-2"/>
  </r>
  <r>
    <x v="7"/>
    <x v="2"/>
    <n v="3.7129319323325798E-2"/>
    <n v="2.98784677435279E-3"/>
    <n v="8.0471358721508596E-2"/>
    <n v="1.57283429225843E-2"/>
    <n v="3.8481725195072799E-4"/>
    <n v="2.44664840946574E-2"/>
  </r>
  <r>
    <x v="10"/>
    <x v="0"/>
    <n v="0.19993388214312299"/>
    <n v="1.70104920534036E-2"/>
    <n v="8.5080586997388602E-2"/>
    <n v="0.14661841961634201"/>
    <n v="1.3113686900207799E-3"/>
    <n v="8.9440923824731997E-3"/>
  </r>
  <r>
    <x v="10"/>
    <x v="1"/>
    <n v="0.19993388214312299"/>
    <n v="1.70104920534036E-2"/>
    <n v="8.5080586997388602E-2"/>
    <n v="0.15291130741397699"/>
    <n v="1.7848376325564001E-4"/>
    <n v="1.1672371799976199E-3"/>
  </r>
  <r>
    <x v="11"/>
    <x v="3"/>
    <n v="0.143983981967923"/>
    <n v="2.6043785077317102E-4"/>
    <n v="1.8087973899151501E-3"/>
    <n v="0.107487850632321"/>
    <n v="-1.5136023978567199E-4"/>
    <n v="-1.4081613772650701E-3"/>
  </r>
  <r>
    <x v="8"/>
    <x v="0"/>
    <n v="0.32127581638574099"/>
    <n v="9.2290107015523103E-3"/>
    <n v="2.8726129483930499E-2"/>
    <n v="0.228355407981925"/>
    <n v="-1.3550002078393901E-3"/>
    <n v="-5.9337338222646497E-3"/>
  </r>
  <r>
    <x v="5"/>
    <x v="0"/>
    <n v="4.31428166488943E-2"/>
    <n v="4.1177091609259104E-3"/>
    <n v="9.5443679406394297E-2"/>
    <n v="2.7735656192E-2"/>
    <n v="-2.7350101686508203E-4"/>
    <n v="-9.8609895858158894E-3"/>
  </r>
  <r>
    <x v="10"/>
    <x v="3"/>
    <n v="0.19993388214312299"/>
    <n v="1.70104920534036E-2"/>
    <n v="8.5080586997388602E-2"/>
    <n v="0.17966522924216799"/>
    <n v="-2.2097526784286498E-3"/>
    <n v="-1.2299278428827999E-2"/>
  </r>
  <r>
    <x v="8"/>
    <x v="1"/>
    <n v="0.32127581638574099"/>
    <n v="9.2290107015523103E-3"/>
    <n v="2.8726129483930499E-2"/>
    <n v="0.17610395943368601"/>
    <n v="-2.7481112060954299E-3"/>
    <n v="-1.5605050646974501E-2"/>
  </r>
  <r>
    <x v="7"/>
    <x v="0"/>
    <n v="3.7129319323325798E-2"/>
    <n v="2.98784677435279E-3"/>
    <n v="8.0471358721508596E-2"/>
    <n v="2.39797047311626E-2"/>
    <n v="-4.5953935131320798E-4"/>
    <n v="-1.9163678471654299E-2"/>
  </r>
  <r>
    <x v="9"/>
    <x v="1"/>
    <n v="0.41590313681207802"/>
    <n v="1.4674631905797099E-2"/>
    <n v="3.5283773087837297E-2"/>
    <n v="0.21104115625500899"/>
    <n v="-4.7619269160901001E-3"/>
    <n v="-2.2563972831612399E-2"/>
  </r>
  <r>
    <x v="11"/>
    <x v="1"/>
    <n v="0.143983981967923"/>
    <n v="2.6043785077317102E-4"/>
    <n v="1.8087973899151501E-3"/>
    <n v="9.0972135390667799E-2"/>
    <n v="-3.2389144997488099E-3"/>
    <n v="-3.56033689419262E-2"/>
  </r>
  <r>
    <x v="8"/>
    <x v="3"/>
    <n v="0.32127581638574099"/>
    <n v="9.2290107015523103E-3"/>
    <n v="2.8726129483930499E-2"/>
    <n v="0.21064643845956799"/>
    <n v="-8.67608177900407E-3"/>
    <n v="-4.1187887354997198E-2"/>
  </r>
  <r>
    <x v="9"/>
    <x v="3"/>
    <n v="0.41590313681207802"/>
    <n v="1.4674631905797099E-2"/>
    <n v="3.5283773087837297E-2"/>
    <n v="0.25421323745771501"/>
    <n v="-1.68117450106928E-2"/>
    <n v="-6.6132453128012997E-2"/>
  </r>
  <r>
    <x v="11"/>
    <x v="0"/>
    <n v="0.143983981967923"/>
    <n v="2.6043785077317102E-4"/>
    <n v="1.8087973899151501E-3"/>
    <n v="0.10196186667852"/>
    <n v="-6.7800074111323497E-3"/>
    <n v="-6.6495520649001993E-2"/>
  </r>
  <r>
    <x v="3"/>
    <x v="0"/>
    <n v="0.245334675441674"/>
    <n v="3.8523280807724498E-2"/>
    <n v="0.157023383418472"/>
    <n v="0.13314002849289899"/>
    <n v="-9.7609940893785795E-3"/>
    <n v="-7.3313744933584404E-2"/>
  </r>
  <r>
    <x v="11"/>
    <x v="2"/>
    <n v="0.143983981967923"/>
    <n v="2.6043785077317102E-4"/>
    <n v="1.8087973899151501E-3"/>
    <n v="0.105848782486162"/>
    <n v="-1.2048038628217799E-2"/>
    <n v="-0.113823119597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D94D91-EDCB-409D-8C89-6C4CDB6EA518}" name="PivotTable1"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Q17" firstHeaderRow="1" firstDataRow="3" firstDataCol="1"/>
  <pivotFields count="8">
    <pivotField axis="axisRow" showAll="0">
      <items count="13">
        <item x="2"/>
        <item x="5"/>
        <item x="0"/>
        <item x="11"/>
        <item x="10"/>
        <item x="7"/>
        <item x="4"/>
        <item x="1"/>
        <item x="6"/>
        <item x="3"/>
        <item x="8"/>
        <item x="9"/>
        <item t="default"/>
      </items>
    </pivotField>
    <pivotField axis="axisCol" showAll="0">
      <items count="5">
        <item x="0"/>
        <item x="1"/>
        <item x="2"/>
        <item x="3"/>
        <item t="default"/>
      </items>
    </pivotField>
    <pivotField dataField="1" numFmtId="10" showAll="0"/>
    <pivotField numFmtId="10" showAll="0"/>
    <pivotField dataField="1" numFmtId="2" showAll="0"/>
    <pivotField dataField="1" numFmtId="10" showAll="0"/>
    <pivotField numFmtId="10" showAll="0"/>
    <pivotField dataField="1" numFmtId="2" showAll="0"/>
  </pivotFields>
  <rowFields count="1">
    <field x="0"/>
  </rowFields>
  <rowItems count="12">
    <i>
      <x/>
    </i>
    <i>
      <x v="1"/>
    </i>
    <i>
      <x v="2"/>
    </i>
    <i>
      <x v="3"/>
    </i>
    <i>
      <x v="4"/>
    </i>
    <i>
      <x v="5"/>
    </i>
    <i>
      <x v="6"/>
    </i>
    <i>
      <x v="7"/>
    </i>
    <i>
      <x v="8"/>
    </i>
    <i>
      <x v="9"/>
    </i>
    <i>
      <x v="10"/>
    </i>
    <i>
      <x v="11"/>
    </i>
  </rowItems>
  <colFields count="2">
    <field x="1"/>
    <field x="-2"/>
  </colFields>
  <colItems count="16">
    <i>
      <x/>
      <x/>
    </i>
    <i r="1" i="1">
      <x v="1"/>
    </i>
    <i r="1" i="2">
      <x v="2"/>
    </i>
    <i r="1" i="3">
      <x v="3"/>
    </i>
    <i>
      <x v="1"/>
      <x/>
    </i>
    <i r="1" i="1">
      <x v="1"/>
    </i>
    <i r="1" i="2">
      <x v="2"/>
    </i>
    <i r="1" i="3">
      <x v="3"/>
    </i>
    <i>
      <x v="2"/>
      <x/>
    </i>
    <i r="1" i="1">
      <x v="1"/>
    </i>
    <i r="1" i="2">
      <x v="2"/>
    </i>
    <i r="1" i="3">
      <x v="3"/>
    </i>
    <i>
      <x v="3"/>
      <x/>
    </i>
    <i r="1" i="1">
      <x v="1"/>
    </i>
    <i r="1" i="2">
      <x v="2"/>
    </i>
    <i r="1" i="3">
      <x v="3"/>
    </i>
  </colItems>
  <dataFields count="4">
    <dataField name="wgt.sharpe" fld="7" baseField="0" baseItem="6" numFmtId="2"/>
    <dataField name="base.sharpe" fld="4" baseField="0" baseItem="0" numFmtId="2"/>
    <dataField name="wgt.vol" fld="5" baseField="0" baseItem="0" numFmtId="166"/>
    <dataField name="base.vol" fld="2" baseField="0" baseItem="0" numFmtId="166"/>
  </dataFields>
  <formats count="10">
    <format dxfId="52">
      <pivotArea outline="0" collapsedLevelsAreSubtotals="1" fieldPosition="0">
        <references count="2">
          <reference field="4294967294" count="2" selected="0">
            <x v="0"/>
            <x v="1"/>
          </reference>
          <reference field="1" count="1" selected="0">
            <x v="0"/>
          </reference>
        </references>
      </pivotArea>
    </format>
    <format dxfId="51">
      <pivotArea outline="0" collapsedLevelsAreSubtotals="1" fieldPosition="0">
        <references count="2">
          <reference field="4294967294" count="2" selected="0">
            <x v="0"/>
            <x v="1"/>
          </reference>
          <reference field="1" count="1" selected="0">
            <x v="1"/>
          </reference>
        </references>
      </pivotArea>
    </format>
    <format dxfId="50">
      <pivotArea outline="0" collapsedLevelsAreSubtotals="1" fieldPosition="0">
        <references count="2">
          <reference field="4294967294" count="2" selected="0">
            <x v="0"/>
            <x v="1"/>
          </reference>
          <reference field="1" count="1" selected="0">
            <x v="0"/>
          </reference>
        </references>
      </pivotArea>
    </format>
    <format dxfId="49">
      <pivotArea outline="0" collapsedLevelsAreSubtotals="1" fieldPosition="0">
        <references count="2">
          <reference field="4294967294" count="2" selected="0">
            <x v="0"/>
            <x v="1"/>
          </reference>
          <reference field="1" count="1" selected="0">
            <x v="2"/>
          </reference>
        </references>
      </pivotArea>
    </format>
    <format dxfId="48">
      <pivotArea outline="0" collapsedLevelsAreSubtotals="1" fieldPosition="0">
        <references count="1">
          <reference field="1" count="1" selected="0">
            <x v="3"/>
          </reference>
        </references>
      </pivotArea>
    </format>
    <format dxfId="47">
      <pivotArea outline="0" collapsedLevelsAreSubtotals="1" fieldPosition="0">
        <references count="2">
          <reference field="4294967294" count="2" selected="0">
            <x v="0"/>
            <x v="1"/>
          </reference>
          <reference field="1" count="1" selected="0">
            <x v="1"/>
          </reference>
        </references>
      </pivotArea>
    </format>
    <format dxfId="46">
      <pivotArea outline="0" collapsedLevelsAreSubtotals="1" fieldPosition="0">
        <references count="2">
          <reference field="4294967294" count="2" selected="0">
            <x v="0"/>
            <x v="1"/>
          </reference>
          <reference field="1" count="1" selected="0">
            <x v="2"/>
          </reference>
        </references>
      </pivotArea>
    </format>
    <format dxfId="45">
      <pivotArea outline="0" collapsedLevelsAreSubtotals="1" fieldPosition="0">
        <references count="1">
          <reference field="1" count="1" selected="0">
            <x v="3"/>
          </reference>
        </references>
      </pivotArea>
    </format>
    <format dxfId="12">
      <pivotArea outline="0" fieldPosition="0">
        <references count="1">
          <reference field="4294967294" count="1">
            <x v="2"/>
          </reference>
        </references>
      </pivotArea>
    </format>
    <format dxfId="2">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EEF6B6-E68B-48B6-AEA8-E346DC892CB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4:M28" firstHeaderRow="0" firstDataRow="1" firstDataCol="1" rowPageCount="2" colPageCount="1"/>
  <pivotFields count="15">
    <pivotField axis="axisPage" showAll="0">
      <items count="4">
        <item x="2"/>
        <item x="1"/>
        <item x="0"/>
        <item t="default"/>
      </items>
    </pivotField>
    <pivotField axis="axisPage" showAll="0">
      <items count="3">
        <item x="0"/>
        <item x="1"/>
        <item t="default"/>
      </items>
    </pivotField>
    <pivotField axis="axisRow" showAll="0">
      <items count="26">
        <item x="0"/>
        <item m="1" x="13"/>
        <item m="1" x="22"/>
        <item m="1" x="23"/>
        <item m="1" x="24"/>
        <item m="1" x="14"/>
        <item m="1" x="15"/>
        <item m="1" x="16"/>
        <item m="1" x="17"/>
        <item m="1" x="18"/>
        <item m="1" x="19"/>
        <item m="1" x="20"/>
        <item m="1" x="21"/>
        <item x="1"/>
        <item x="2"/>
        <item x="3"/>
        <item x="4"/>
        <item x="5"/>
        <item x="6"/>
        <item x="7"/>
        <item x="8"/>
        <item x="9"/>
        <item x="10"/>
        <item x="11"/>
        <item x="12"/>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4">
    <i>
      <x/>
    </i>
    <i>
      <x v="13"/>
    </i>
    <i>
      <x v="14"/>
    </i>
    <i>
      <x v="15"/>
    </i>
    <i>
      <x v="16"/>
    </i>
    <i>
      <x v="17"/>
    </i>
    <i>
      <x v="18"/>
    </i>
    <i>
      <x v="19"/>
    </i>
    <i>
      <x v="20"/>
    </i>
    <i>
      <x v="21"/>
    </i>
    <i>
      <x v="22"/>
    </i>
    <i>
      <x v="23"/>
    </i>
    <i>
      <x v="24"/>
    </i>
    <i t="grand">
      <x/>
    </i>
  </rowItems>
  <colFields count="1">
    <field x="-2"/>
  </colFields>
  <colItems count="12">
    <i>
      <x/>
    </i>
    <i i="1">
      <x v="1"/>
    </i>
    <i i="2">
      <x v="2"/>
    </i>
    <i i="3">
      <x v="3"/>
    </i>
    <i i="4">
      <x v="4"/>
    </i>
    <i i="5">
      <x v="5"/>
    </i>
    <i i="6">
      <x v="6"/>
    </i>
    <i i="7">
      <x v="7"/>
    </i>
    <i i="8">
      <x v="8"/>
    </i>
    <i i="9">
      <x v="9"/>
    </i>
    <i i="10">
      <x v="10"/>
    </i>
    <i i="11">
      <x v="11"/>
    </i>
  </colItems>
  <pageFields count="2">
    <pageField fld="0" item="1" hier="-1"/>
    <pageField fld="1" item="1" hier="-1"/>
  </pageFields>
  <dataFields count="12">
    <dataField name="Rtn spy" fld="3" baseField="0" baseItem="0"/>
    <dataField name="Rtn agg" fld="4" baseField="0" baseItem="0"/>
    <dataField name="Rtn xop" fld="5" baseField="0" baseItem="0"/>
    <dataField name="Rtn xme" fld="6" baseField="0" baseItem="0"/>
    <dataField name="Rtn xhb" fld="7" baseField="0" baseItem="0"/>
    <dataField name="Rtn gld" fld="8" baseField="0" baseItem="0"/>
    <dataField name="Rtn bil" fld="9" baseField="0" baseItem="0"/>
    <dataField name="Rtn tip" fld="10" baseField="0" baseItem="0"/>
    <dataField name="Rtn spts" fld="11" baseField="0" baseItem="0"/>
    <dataField name="Rtn spti" fld="12" baseField="0" baseItem="0"/>
    <dataField name="Rtn naivevol" fld="13" baseField="0" baseItem="0"/>
    <dataField name="Rtn 6040" fld="14" baseField="0" baseItem="0"/>
  </dataFields>
  <chartFormats count="24">
    <chartFormat chart="0" format="60" series="1">
      <pivotArea type="data" outline="0" fieldPosition="0">
        <references count="1">
          <reference field="4294967294" count="1" selected="0">
            <x v="0"/>
          </reference>
        </references>
      </pivotArea>
    </chartFormat>
    <chartFormat chart="0" format="61" series="1">
      <pivotArea type="data" outline="0" fieldPosition="0">
        <references count="1">
          <reference field="4294967294" count="1" selected="0">
            <x v="1"/>
          </reference>
        </references>
      </pivotArea>
    </chartFormat>
    <chartFormat chart="0" format="62" series="1">
      <pivotArea type="data" outline="0" fieldPosition="0">
        <references count="1">
          <reference field="4294967294" count="1" selected="0">
            <x v="2"/>
          </reference>
        </references>
      </pivotArea>
    </chartFormat>
    <chartFormat chart="0" format="63" series="1">
      <pivotArea type="data" outline="0" fieldPosition="0">
        <references count="1">
          <reference field="4294967294" count="1" selected="0">
            <x v="3"/>
          </reference>
        </references>
      </pivotArea>
    </chartFormat>
    <chartFormat chart="0" format="64" series="1">
      <pivotArea type="data" outline="0" fieldPosition="0">
        <references count="1">
          <reference field="4294967294" count="1" selected="0">
            <x v="4"/>
          </reference>
        </references>
      </pivotArea>
    </chartFormat>
    <chartFormat chart="0" format="65" series="1">
      <pivotArea type="data" outline="0" fieldPosition="0">
        <references count="1">
          <reference field="4294967294" count="1" selected="0">
            <x v="5"/>
          </reference>
        </references>
      </pivotArea>
    </chartFormat>
    <chartFormat chart="0" format="66" series="1">
      <pivotArea type="data" outline="0" fieldPosition="0">
        <references count="1">
          <reference field="4294967294" count="1" selected="0">
            <x v="6"/>
          </reference>
        </references>
      </pivotArea>
    </chartFormat>
    <chartFormat chart="0" format="67" series="1">
      <pivotArea type="data" outline="0" fieldPosition="0">
        <references count="1">
          <reference field="4294967294" count="1" selected="0">
            <x v="7"/>
          </reference>
        </references>
      </pivotArea>
    </chartFormat>
    <chartFormat chart="0" format="68" series="1">
      <pivotArea type="data" outline="0" fieldPosition="0">
        <references count="1">
          <reference field="4294967294" count="1" selected="0">
            <x v="8"/>
          </reference>
        </references>
      </pivotArea>
    </chartFormat>
    <chartFormat chart="0" format="69" series="1">
      <pivotArea type="data" outline="0" fieldPosition="0">
        <references count="1">
          <reference field="4294967294" count="1" selected="0">
            <x v="9"/>
          </reference>
        </references>
      </pivotArea>
    </chartFormat>
    <chartFormat chart="0" format="70" series="1">
      <pivotArea type="data" outline="0" fieldPosition="0">
        <references count="1">
          <reference field="4294967294" count="1" selected="0">
            <x v="10"/>
          </reference>
        </references>
      </pivotArea>
    </chartFormat>
    <chartFormat chart="0" format="71" series="1">
      <pivotArea type="data" outline="0" fieldPosition="0">
        <references count="1">
          <reference field="4294967294" count="1" selected="0">
            <x v="11"/>
          </reference>
        </references>
      </pivotArea>
    </chartFormat>
    <chartFormat chart="5" format="84" series="1">
      <pivotArea type="data" outline="0" fieldPosition="0">
        <references count="1">
          <reference field="4294967294" count="1" selected="0">
            <x v="0"/>
          </reference>
        </references>
      </pivotArea>
    </chartFormat>
    <chartFormat chart="5" format="85" series="1">
      <pivotArea type="data" outline="0" fieldPosition="0">
        <references count="1">
          <reference field="4294967294" count="1" selected="0">
            <x v="1"/>
          </reference>
        </references>
      </pivotArea>
    </chartFormat>
    <chartFormat chart="5" format="86" series="1">
      <pivotArea type="data" outline="0" fieldPosition="0">
        <references count="1">
          <reference field="4294967294" count="1" selected="0">
            <x v="2"/>
          </reference>
        </references>
      </pivotArea>
    </chartFormat>
    <chartFormat chart="5" format="87" series="1">
      <pivotArea type="data" outline="0" fieldPosition="0">
        <references count="1">
          <reference field="4294967294" count="1" selected="0">
            <x v="3"/>
          </reference>
        </references>
      </pivotArea>
    </chartFormat>
    <chartFormat chart="5" format="88" series="1">
      <pivotArea type="data" outline="0" fieldPosition="0">
        <references count="1">
          <reference field="4294967294" count="1" selected="0">
            <x v="4"/>
          </reference>
        </references>
      </pivotArea>
    </chartFormat>
    <chartFormat chart="5" format="89" series="1">
      <pivotArea type="data" outline="0" fieldPosition="0">
        <references count="1">
          <reference field="4294967294" count="1" selected="0">
            <x v="5"/>
          </reference>
        </references>
      </pivotArea>
    </chartFormat>
    <chartFormat chart="5" format="90" series="1">
      <pivotArea type="data" outline="0" fieldPosition="0">
        <references count="1">
          <reference field="4294967294" count="1" selected="0">
            <x v="6"/>
          </reference>
        </references>
      </pivotArea>
    </chartFormat>
    <chartFormat chart="5" format="91" series="1">
      <pivotArea type="data" outline="0" fieldPosition="0">
        <references count="1">
          <reference field="4294967294" count="1" selected="0">
            <x v="7"/>
          </reference>
        </references>
      </pivotArea>
    </chartFormat>
    <chartFormat chart="5" format="92" series="1">
      <pivotArea type="data" outline="0" fieldPosition="0">
        <references count="1">
          <reference field="4294967294" count="1" selected="0">
            <x v="8"/>
          </reference>
        </references>
      </pivotArea>
    </chartFormat>
    <chartFormat chart="5" format="93" series="1">
      <pivotArea type="data" outline="0" fieldPosition="0">
        <references count="1">
          <reference field="4294967294" count="1" selected="0">
            <x v="9"/>
          </reference>
        </references>
      </pivotArea>
    </chartFormat>
    <chartFormat chart="5" format="94" series="1">
      <pivotArea type="data" outline="0" fieldPosition="0">
        <references count="1">
          <reference field="4294967294" count="1" selected="0">
            <x v="10"/>
          </reference>
        </references>
      </pivotArea>
    </chartFormat>
    <chartFormat chart="5" format="95" series="1">
      <pivotArea type="data" outline="0" fieldPosition="0">
        <references count="1">
          <reference field="429496729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icator" xr10:uid="{A9FC4A65-C2C9-4D83-802D-8CF950210D3F}" sourceName="indicator">
  <pivotTables>
    <pivotTable tabId="2" name="PivotTable2"/>
  </pivotTables>
  <data>
    <tabular pivotCacheId="1477854281">
      <items count="3">
        <i x="2"/>
        <i x="1" s="1"/>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neg" xr10:uid="{835EAE22-5A7E-4224-B711-E5C9134C071C}" sourceName="posneg">
  <pivotTables>
    <pivotTable tabId="2" name="PivotTable2"/>
  </pivotTables>
  <data>
    <tabular pivotCacheId="1477854281">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icator" xr10:uid="{E8672BF6-373C-405B-9590-AAAA1811E3E8}" cache="Slicer_indicator" caption="indicator" rowHeight="241300"/>
  <slicer name="posneg" xr10:uid="{D5911F77-593B-4CB2-8D36-6DD73AB56147}" cache="Slicer_posneg" caption="posneg"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F3E487F-4E87-4929-8387-2377B9E4DDEF}" name="Table3" displayName="Table3" ref="C6:J54" totalsRowShown="0">
  <autoFilter ref="C6:J54" xr:uid="{0F3E487F-4E87-4929-8387-2377B9E4DDEF}"/>
  <sortState xmlns:xlrd2="http://schemas.microsoft.com/office/spreadsheetml/2017/richdata2" ref="C7:J54">
    <sortCondition descending="1" ref="J6:J54"/>
  </sortState>
  <tableColumns count="8">
    <tableColumn id="1" xr3:uid="{CCE6E421-9204-4387-A388-01847887E646}" name="ticker" dataDxfId="0"/>
    <tableColumn id="2" xr3:uid="{3EA6E182-BEDA-4141-967E-427134E5E59D}" name="signame"/>
    <tableColumn id="3" xr3:uid="{699B43AE-42B2-4021-8D7E-ACBEE3F94E7A}" name="base vol" dataDxfId="57"/>
    <tableColumn id="4" xr3:uid="{82A62FA0-E743-4682-89C8-F50E6175E4D0}" name="base rtn" dataDxfId="58"/>
    <tableColumn id="5" xr3:uid="{D054C34F-1B5E-4032-BD36-ACE36A9B166F}" name="base sharpe" dataDxfId="54"/>
    <tableColumn id="6" xr3:uid="{B3974D02-5FB5-43B6-856F-7C04C1F7B3D6}" name="wgt vol" dataDxfId="56"/>
    <tableColumn id="7" xr3:uid="{84CCDCEF-B9BA-45BA-BF61-8AA384FFAF05}" name="wgt rtn" dataDxfId="55"/>
    <tableColumn id="8" xr3:uid="{9227EE7E-4490-4650-AB9B-14E27EBC8AAF}" name="wgt sharpe" dataDxfId="5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D0A7C7A-2487-42C7-AA6C-9BA8AEE2DAD6}" name="Table2" displayName="Table2" ref="B4:P82" totalsRowShown="0">
  <autoFilter ref="B4:P82" xr:uid="{FD0A7C7A-2487-42C7-AA6C-9BA8AEE2DAD6}"/>
  <tableColumns count="15">
    <tableColumn id="1" xr3:uid="{BBC126B4-D9A9-4C37-BBF0-ED662568F22B}" name="indicator"/>
    <tableColumn id="2" xr3:uid="{A8215832-25C0-4A99-8AFC-F5980A330A1C}" name="posneg"/>
    <tableColumn id="3" xr3:uid="{40545B8E-96E9-435F-8240-18B4F89E96AF}" name="lag"/>
    <tableColumn id="4" xr3:uid="{E67014E9-6805-481E-A5BF-32CA61B4F353}" name="spy"/>
    <tableColumn id="5" xr3:uid="{6AC9722C-F7DF-421A-89C8-94BB17E4470C}" name="agg"/>
    <tableColumn id="6" xr3:uid="{1ADF451F-B448-48D2-90AF-35E992F708FF}" name="xop"/>
    <tableColumn id="7" xr3:uid="{53659EE8-A565-4393-81CE-5E7EF46B92AA}" name="xme"/>
    <tableColumn id="8" xr3:uid="{6FFB378A-FB0F-4324-B3CF-DA22732C9438}" name="xhb"/>
    <tableColumn id="9" xr3:uid="{D0233D09-1AB3-405F-8828-2CD23ECC5706}" name="gld"/>
    <tableColumn id="10" xr3:uid="{D2F347D6-8879-4FA2-9C1B-3F4E1DE6B7EF}" name="bil"/>
    <tableColumn id="11" xr3:uid="{6B5AC030-AF04-415A-82DB-CB5A23255311}" name="tip"/>
    <tableColumn id="12" xr3:uid="{C475EDC1-8059-4FA9-AFA3-3FD5846094A6}" name="spts"/>
    <tableColumn id="13" xr3:uid="{59BED683-A377-4977-AD16-01876986E8C3}" name="spti"/>
    <tableColumn id="14" xr3:uid="{705F581B-E292-419C-8BD6-370C93BFE250}" name="naivevol"/>
    <tableColumn id="15" xr3:uid="{BACCAA56-1C77-45B6-AF75-CB498E2029FF}" name="604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700BB-29E1-4E42-B1AF-D151EDBE3FE2}">
  <dimension ref="A1:E144"/>
  <sheetViews>
    <sheetView workbookViewId="0">
      <selection activeCell="C1" sqref="C1"/>
    </sheetView>
  </sheetViews>
  <sheetFormatPr defaultRowHeight="14.5" x14ac:dyDescent="0.35"/>
  <sheetData>
    <row r="1" spans="1:5" x14ac:dyDescent="0.35">
      <c r="A1" t="s">
        <v>60</v>
      </c>
      <c r="B1" t="s">
        <v>2</v>
      </c>
      <c r="C1" t="s">
        <v>61</v>
      </c>
      <c r="D1" t="s">
        <v>62</v>
      </c>
      <c r="E1" t="s">
        <v>63</v>
      </c>
    </row>
    <row r="2" spans="1:5" x14ac:dyDescent="0.35">
      <c r="A2" t="s">
        <v>64</v>
      </c>
      <c r="B2">
        <v>102.996080902423</v>
      </c>
      <c r="C2">
        <v>1</v>
      </c>
      <c r="D2">
        <v>2.9960809024235799E-2</v>
      </c>
      <c r="E2">
        <v>102.996080902423</v>
      </c>
    </row>
    <row r="3" spans="1:5" x14ac:dyDescent="0.35">
      <c r="A3" t="s">
        <v>65</v>
      </c>
      <c r="B3">
        <v>106.533730511153</v>
      </c>
      <c r="C3">
        <v>1</v>
      </c>
      <c r="D3">
        <v>3.4347419607951797E-2</v>
      </c>
      <c r="E3">
        <v>106.533730511153</v>
      </c>
    </row>
    <row r="4" spans="1:5" x14ac:dyDescent="0.35">
      <c r="A4" t="s">
        <v>66</v>
      </c>
      <c r="B4">
        <v>109.393403970362</v>
      </c>
      <c r="C4">
        <v>1</v>
      </c>
      <c r="D4">
        <v>2.6842892344871298E-2</v>
      </c>
      <c r="E4">
        <v>109.393403970362</v>
      </c>
    </row>
    <row r="5" spans="1:5" x14ac:dyDescent="0.35">
      <c r="A5" t="s">
        <v>67</v>
      </c>
      <c r="B5">
        <v>107.874034871159</v>
      </c>
      <c r="C5">
        <v>1</v>
      </c>
      <c r="D5">
        <v>-1.3889037584155399E-2</v>
      </c>
      <c r="E5">
        <v>107.874034871159</v>
      </c>
    </row>
    <row r="6" spans="1:5" x14ac:dyDescent="0.35">
      <c r="A6" t="s">
        <v>68</v>
      </c>
      <c r="B6">
        <v>100.76879487690699</v>
      </c>
      <c r="C6">
        <v>1</v>
      </c>
      <c r="D6">
        <v>-6.5866081701103599E-2</v>
      </c>
      <c r="E6">
        <v>100.76879487690699</v>
      </c>
    </row>
    <row r="7" spans="1:5" x14ac:dyDescent="0.35">
      <c r="A7" t="s">
        <v>69</v>
      </c>
      <c r="B7">
        <v>107.566289224863</v>
      </c>
      <c r="C7">
        <v>0</v>
      </c>
      <c r="D7">
        <v>0</v>
      </c>
      <c r="E7">
        <v>100.76879487690699</v>
      </c>
    </row>
    <row r="8" spans="1:5" x14ac:dyDescent="0.35">
      <c r="A8" t="s">
        <v>70</v>
      </c>
      <c r="B8">
        <v>108.51187450862101</v>
      </c>
      <c r="C8">
        <v>0</v>
      </c>
      <c r="D8">
        <v>0</v>
      </c>
      <c r="E8">
        <v>100.76879487690699</v>
      </c>
    </row>
    <row r="9" spans="1:5" x14ac:dyDescent="0.35">
      <c r="A9" t="s">
        <v>71</v>
      </c>
      <c r="B9">
        <v>111.327365058832</v>
      </c>
      <c r="C9">
        <v>0</v>
      </c>
      <c r="D9">
        <v>0</v>
      </c>
      <c r="E9">
        <v>100.76879487690699</v>
      </c>
    </row>
    <row r="10" spans="1:5" x14ac:dyDescent="0.35">
      <c r="A10" t="s">
        <v>72</v>
      </c>
      <c r="B10">
        <v>114.25480634810501</v>
      </c>
      <c r="C10">
        <v>1</v>
      </c>
      <c r="D10">
        <v>2.6295792483064899E-2</v>
      </c>
      <c r="E10">
        <v>103.41859019575899</v>
      </c>
    </row>
    <row r="11" spans="1:5" x14ac:dyDescent="0.35">
      <c r="A11" t="s">
        <v>73</v>
      </c>
      <c r="B11">
        <v>111.88030892885401</v>
      </c>
      <c r="C11">
        <v>1</v>
      </c>
      <c r="D11">
        <v>-2.0782472922993098E-2</v>
      </c>
      <c r="E11">
        <v>101.269296145281</v>
      </c>
    </row>
    <row r="12" spans="1:5" x14ac:dyDescent="0.35">
      <c r="A12" t="s">
        <v>74</v>
      </c>
      <c r="B12">
        <v>111.347672789765</v>
      </c>
      <c r="C12">
        <v>0</v>
      </c>
      <c r="D12">
        <v>0</v>
      </c>
      <c r="E12">
        <v>101.269296145281</v>
      </c>
    </row>
    <row r="13" spans="1:5" x14ac:dyDescent="0.35">
      <c r="A13" t="s">
        <v>75</v>
      </c>
      <c r="B13">
        <v>112.89843204370101</v>
      </c>
      <c r="C13">
        <v>1</v>
      </c>
      <c r="D13">
        <v>1.39271815484176E-2</v>
      </c>
      <c r="E13">
        <v>102.679692017977</v>
      </c>
    </row>
    <row r="14" spans="1:5" x14ac:dyDescent="0.35">
      <c r="A14" t="s">
        <v>76</v>
      </c>
      <c r="B14">
        <v>115.71199335337199</v>
      </c>
      <c r="C14">
        <v>1</v>
      </c>
      <c r="D14">
        <v>2.4921172586185699E-2</v>
      </c>
      <c r="E14">
        <v>105.238590343854</v>
      </c>
    </row>
    <row r="15" spans="1:5" x14ac:dyDescent="0.35">
      <c r="A15" t="s">
        <v>77</v>
      </c>
      <c r="B15">
        <v>115.995074536666</v>
      </c>
      <c r="C15">
        <v>1</v>
      </c>
      <c r="D15">
        <v>2.4464290614172302E-3</v>
      </c>
      <c r="E15">
        <v>105.496049089653</v>
      </c>
    </row>
    <row r="16" spans="1:5" x14ac:dyDescent="0.35">
      <c r="A16" t="s">
        <v>78</v>
      </c>
      <c r="B16">
        <v>120.00382600814601</v>
      </c>
      <c r="C16">
        <v>1</v>
      </c>
      <c r="D16">
        <v>3.4559669774704802E-2</v>
      </c>
      <c r="E16">
        <v>109.141957708728</v>
      </c>
    </row>
    <row r="17" spans="1:5" x14ac:dyDescent="0.35">
      <c r="A17" t="s">
        <v>79</v>
      </c>
      <c r="B17">
        <v>122.795333614</v>
      </c>
      <c r="C17">
        <v>1</v>
      </c>
      <c r="D17">
        <v>2.3261821716125501E-2</v>
      </c>
      <c r="E17">
        <v>111.680798470697</v>
      </c>
    </row>
    <row r="18" spans="1:5" x14ac:dyDescent="0.35">
      <c r="A18" t="s">
        <v>80</v>
      </c>
      <c r="B18">
        <v>126.806257464284</v>
      </c>
      <c r="C18">
        <v>1</v>
      </c>
      <c r="D18">
        <v>3.2663487546618498E-2</v>
      </c>
      <c r="E18">
        <v>115.328682840741</v>
      </c>
    </row>
    <row r="19" spans="1:5" x14ac:dyDescent="0.35">
      <c r="A19" t="s">
        <v>81</v>
      </c>
      <c r="B19">
        <v>124.428902410948</v>
      </c>
      <c r="C19">
        <v>1</v>
      </c>
      <c r="D19">
        <v>-1.874793169419E-2</v>
      </c>
      <c r="E19">
        <v>113.16650857246201</v>
      </c>
    </row>
    <row r="20" spans="1:5" x14ac:dyDescent="0.35">
      <c r="A20" t="s">
        <v>82</v>
      </c>
      <c r="B20">
        <v>130.09670030551601</v>
      </c>
      <c r="C20">
        <v>1</v>
      </c>
      <c r="D20">
        <v>4.5550493372101097E-2</v>
      </c>
      <c r="E20">
        <v>118.32129887113599</v>
      </c>
    </row>
    <row r="21" spans="1:5" x14ac:dyDescent="0.35">
      <c r="A21" t="s">
        <v>83</v>
      </c>
      <c r="B21">
        <v>124.752834655275</v>
      </c>
      <c r="C21">
        <v>1</v>
      </c>
      <c r="D21">
        <v>-4.1076104449164999E-2</v>
      </c>
      <c r="E21">
        <v>113.46112084014401</v>
      </c>
    </row>
    <row r="22" spans="1:5" x14ac:dyDescent="0.35">
      <c r="A22" t="s">
        <v>84</v>
      </c>
      <c r="B22">
        <v>128.12147368137499</v>
      </c>
      <c r="C22">
        <v>1</v>
      </c>
      <c r="D22">
        <v>2.70025048762116E-2</v>
      </c>
      <c r="E22">
        <v>116.52485530889101</v>
      </c>
    </row>
    <row r="23" spans="1:5" x14ac:dyDescent="0.35">
      <c r="A23" t="s">
        <v>85</v>
      </c>
      <c r="B23">
        <v>133.00147238595801</v>
      </c>
      <c r="C23">
        <v>1</v>
      </c>
      <c r="D23">
        <v>3.8088843067159699E-2</v>
      </c>
      <c r="E23">
        <v>120.963152236174</v>
      </c>
    </row>
    <row r="24" spans="1:5" x14ac:dyDescent="0.35">
      <c r="A24" t="s">
        <v>86</v>
      </c>
      <c r="B24">
        <v>136.61691729533899</v>
      </c>
      <c r="C24">
        <v>1</v>
      </c>
      <c r="D24">
        <v>2.71834953743177E-2</v>
      </c>
      <c r="E24">
        <v>124.25135352544901</v>
      </c>
    </row>
    <row r="25" spans="1:5" x14ac:dyDescent="0.35">
      <c r="A25" t="s">
        <v>87</v>
      </c>
      <c r="B25">
        <v>140.52383512251299</v>
      </c>
      <c r="C25">
        <v>1</v>
      </c>
      <c r="D25">
        <v>2.8597613710807698E-2</v>
      </c>
      <c r="E25">
        <v>127.804645736615</v>
      </c>
    </row>
    <row r="26" spans="1:5" x14ac:dyDescent="0.35">
      <c r="A26" t="s">
        <v>88</v>
      </c>
      <c r="B26">
        <v>136.88241343462499</v>
      </c>
      <c r="C26">
        <v>1</v>
      </c>
      <c r="D26">
        <v>-2.59131960404669E-2</v>
      </c>
      <c r="E26">
        <v>124.49281889676</v>
      </c>
    </row>
    <row r="27" spans="1:5" x14ac:dyDescent="0.35">
      <c r="A27" t="s">
        <v>89</v>
      </c>
      <c r="B27">
        <v>146.407577042366</v>
      </c>
      <c r="C27">
        <v>1</v>
      </c>
      <c r="D27">
        <v>6.9586467455806794E-2</v>
      </c>
      <c r="E27">
        <v>133.155834387401</v>
      </c>
    </row>
    <row r="28" spans="1:5" x14ac:dyDescent="0.35">
      <c r="A28" t="s">
        <v>90</v>
      </c>
      <c r="B28">
        <v>148.667634125859</v>
      </c>
      <c r="C28">
        <v>1</v>
      </c>
      <c r="D28">
        <v>1.54367494439131E-2</v>
      </c>
      <c r="E28">
        <v>135.211327639834</v>
      </c>
    </row>
    <row r="29" spans="1:5" x14ac:dyDescent="0.35">
      <c r="A29" t="s">
        <v>91</v>
      </c>
      <c r="B29">
        <v>148.71497000896099</v>
      </c>
      <c r="C29">
        <v>1</v>
      </c>
      <c r="D29">
        <v>3.1840072911570801E-4</v>
      </c>
      <c r="E29">
        <v>135.25437902514</v>
      </c>
    </row>
    <row r="30" spans="1:5" x14ac:dyDescent="0.35">
      <c r="A30" t="s">
        <v>92</v>
      </c>
      <c r="B30">
        <v>152.15001536761099</v>
      </c>
      <c r="C30">
        <v>1</v>
      </c>
      <c r="D30">
        <v>2.3098181430180699E-2</v>
      </c>
      <c r="E30">
        <v>138.37850921108901</v>
      </c>
    </row>
    <row r="31" spans="1:5" x14ac:dyDescent="0.35">
      <c r="A31" t="s">
        <v>93</v>
      </c>
      <c r="B31">
        <v>155.114016606615</v>
      </c>
      <c r="C31">
        <v>1</v>
      </c>
      <c r="D31">
        <v>1.9480781726129701E-2</v>
      </c>
      <c r="E31">
        <v>141.07423074461701</v>
      </c>
    </row>
    <row r="32" spans="1:5" x14ac:dyDescent="0.35">
      <c r="A32" t="s">
        <v>94</v>
      </c>
      <c r="B32">
        <v>152.01224797111399</v>
      </c>
      <c r="C32">
        <v>1</v>
      </c>
      <c r="D32">
        <v>-1.9996701158012699E-2</v>
      </c>
      <c r="E32">
        <v>138.25321151132101</v>
      </c>
    </row>
    <row r="33" spans="1:5" x14ac:dyDescent="0.35">
      <c r="A33" t="s">
        <v>95</v>
      </c>
      <c r="B33">
        <v>158.49555438121499</v>
      </c>
      <c r="C33">
        <v>1</v>
      </c>
      <c r="D33">
        <v>4.2649894969863898E-2</v>
      </c>
      <c r="E33">
        <v>144.149696461525</v>
      </c>
    </row>
    <row r="34" spans="1:5" x14ac:dyDescent="0.35">
      <c r="A34" t="s">
        <v>96</v>
      </c>
      <c r="B34">
        <v>156.38681136970899</v>
      </c>
      <c r="C34">
        <v>1</v>
      </c>
      <c r="D34">
        <v>-1.3304745484741899E-2</v>
      </c>
      <c r="E34">
        <v>142.231821438401</v>
      </c>
    </row>
    <row r="35" spans="1:5" x14ac:dyDescent="0.35">
      <c r="A35" t="s">
        <v>97</v>
      </c>
      <c r="B35">
        <v>162.26898616457399</v>
      </c>
      <c r="C35">
        <v>1</v>
      </c>
      <c r="D35">
        <v>3.7612985029528097E-2</v>
      </c>
      <c r="E35">
        <v>147.58158480888699</v>
      </c>
    </row>
    <row r="36" spans="1:5" x14ac:dyDescent="0.35">
      <c r="A36" t="s">
        <v>98</v>
      </c>
      <c r="B36">
        <v>166.63596041876801</v>
      </c>
      <c r="C36">
        <v>1</v>
      </c>
      <c r="D36">
        <v>2.6911946376280999E-2</v>
      </c>
      <c r="E36">
        <v>151.55329250539</v>
      </c>
    </row>
    <row r="37" spans="1:5" x14ac:dyDescent="0.35">
      <c r="A37" t="s">
        <v>99</v>
      </c>
      <c r="B37">
        <v>167.37649122107001</v>
      </c>
      <c r="C37">
        <v>1</v>
      </c>
      <c r="D37">
        <v>4.4440035658614898E-3</v>
      </c>
      <c r="E37">
        <v>152.22679587770199</v>
      </c>
    </row>
    <row r="38" spans="1:5" x14ac:dyDescent="0.35">
      <c r="A38" t="s">
        <v>100</v>
      </c>
      <c r="B38">
        <v>162.50425181147301</v>
      </c>
      <c r="C38">
        <v>1</v>
      </c>
      <c r="D38">
        <v>-2.91094607973491E-2</v>
      </c>
      <c r="E38">
        <v>147.795555930794</v>
      </c>
    </row>
    <row r="39" spans="1:5" x14ac:dyDescent="0.35">
      <c r="A39" t="s">
        <v>101</v>
      </c>
      <c r="B39">
        <v>169.53811311782201</v>
      </c>
      <c r="C39">
        <v>1</v>
      </c>
      <c r="D39">
        <v>4.3284167816786998E-2</v>
      </c>
      <c r="E39">
        <v>154.192763576278</v>
      </c>
    </row>
    <row r="40" spans="1:5" x14ac:dyDescent="0.35">
      <c r="A40" t="s">
        <v>102</v>
      </c>
      <c r="B40">
        <v>165.828427578597</v>
      </c>
      <c r="C40">
        <v>1</v>
      </c>
      <c r="D40">
        <v>-2.1881130272142699E-2</v>
      </c>
      <c r="E40">
        <v>150.818851629444</v>
      </c>
    </row>
    <row r="41" spans="1:5" x14ac:dyDescent="0.35">
      <c r="A41" t="s">
        <v>103</v>
      </c>
      <c r="B41">
        <v>168.05347711002699</v>
      </c>
      <c r="C41">
        <v>1</v>
      </c>
      <c r="D41">
        <v>1.3417781039831701E-2</v>
      </c>
      <c r="E41">
        <v>152.84250595728599</v>
      </c>
    </row>
    <row r="42" spans="1:5" x14ac:dyDescent="0.35">
      <c r="A42" t="s">
        <v>104</v>
      </c>
      <c r="B42">
        <v>168.38842806628901</v>
      </c>
      <c r="C42">
        <v>1</v>
      </c>
      <c r="D42">
        <v>1.9931212493935401E-3</v>
      </c>
      <c r="E42">
        <v>153.14713960372001</v>
      </c>
    </row>
    <row r="43" spans="1:5" x14ac:dyDescent="0.35">
      <c r="A43" t="s">
        <v>105</v>
      </c>
      <c r="B43">
        <v>164.63282563733199</v>
      </c>
      <c r="C43">
        <v>1</v>
      </c>
      <c r="D43">
        <v>-2.2303209740035801E-2</v>
      </c>
      <c r="E43">
        <v>149.73146682805199</v>
      </c>
    </row>
    <row r="44" spans="1:5" x14ac:dyDescent="0.35">
      <c r="A44" t="s">
        <v>106</v>
      </c>
      <c r="B44">
        <v>167.01300165602299</v>
      </c>
      <c r="C44">
        <v>1</v>
      </c>
      <c r="D44">
        <v>1.4457481425571499E-2</v>
      </c>
      <c r="E44">
        <v>151.89620672854201</v>
      </c>
    </row>
    <row r="45" spans="1:5" x14ac:dyDescent="0.35">
      <c r="A45" t="s">
        <v>107</v>
      </c>
      <c r="B45">
        <v>157.364327639349</v>
      </c>
      <c r="C45">
        <v>1</v>
      </c>
      <c r="D45">
        <v>-5.77719933238839E-2</v>
      </c>
      <c r="E45">
        <v>143.12086008749699</v>
      </c>
    </row>
    <row r="46" spans="1:5" x14ac:dyDescent="0.35">
      <c r="A46" t="s">
        <v>108</v>
      </c>
      <c r="B46">
        <v>158.06691848438501</v>
      </c>
      <c r="C46">
        <v>1</v>
      </c>
      <c r="D46">
        <v>4.4647402341790798E-3</v>
      </c>
      <c r="E46">
        <v>143.75985754988</v>
      </c>
    </row>
    <row r="47" spans="1:5" x14ac:dyDescent="0.35">
      <c r="A47" t="s">
        <v>109</v>
      </c>
      <c r="B47">
        <v>171.06566993839601</v>
      </c>
      <c r="C47">
        <v>0</v>
      </c>
      <c r="D47">
        <v>0</v>
      </c>
      <c r="E47">
        <v>143.75985754988</v>
      </c>
    </row>
    <row r="48" spans="1:5" x14ac:dyDescent="0.35">
      <c r="A48" t="s">
        <v>110</v>
      </c>
      <c r="B48">
        <v>169.68344990173901</v>
      </c>
      <c r="C48">
        <v>0</v>
      </c>
      <c r="D48">
        <v>0</v>
      </c>
      <c r="E48">
        <v>143.75985754988</v>
      </c>
    </row>
    <row r="49" spans="1:5" x14ac:dyDescent="0.35">
      <c r="A49" t="s">
        <v>111</v>
      </c>
      <c r="B49">
        <v>165.17580655655499</v>
      </c>
      <c r="C49">
        <v>0</v>
      </c>
      <c r="D49">
        <v>0</v>
      </c>
      <c r="E49">
        <v>143.75985754988</v>
      </c>
    </row>
    <row r="50" spans="1:5" x14ac:dyDescent="0.35">
      <c r="A50" t="s">
        <v>112</v>
      </c>
      <c r="B50">
        <v>159.17746653726201</v>
      </c>
      <c r="C50">
        <v>0</v>
      </c>
      <c r="D50">
        <v>0</v>
      </c>
      <c r="E50">
        <v>143.75985754988</v>
      </c>
    </row>
    <row r="51" spans="1:5" x14ac:dyDescent="0.35">
      <c r="A51" t="s">
        <v>113</v>
      </c>
      <c r="B51">
        <v>159.10348157628701</v>
      </c>
      <c r="C51">
        <v>0</v>
      </c>
      <c r="D51">
        <v>0</v>
      </c>
      <c r="E51">
        <v>143.75985754988</v>
      </c>
    </row>
    <row r="52" spans="1:5" x14ac:dyDescent="0.35">
      <c r="A52" t="s">
        <v>114</v>
      </c>
      <c r="B52">
        <v>165.90580533979801</v>
      </c>
      <c r="C52">
        <v>1</v>
      </c>
      <c r="D52">
        <v>4.2754084927109297E-2</v>
      </c>
      <c r="E52">
        <v>149.906178708677</v>
      </c>
    </row>
    <row r="53" spans="1:5" x14ac:dyDescent="0.35">
      <c r="A53" t="s">
        <v>115</v>
      </c>
      <c r="B53">
        <v>165.432757360484</v>
      </c>
      <c r="C53">
        <v>1</v>
      </c>
      <c r="D53">
        <v>-2.8513045601127299E-3</v>
      </c>
      <c r="E53">
        <v>149.478750537736</v>
      </c>
    </row>
    <row r="54" spans="1:5" x14ac:dyDescent="0.35">
      <c r="A54" t="s">
        <v>116</v>
      </c>
      <c r="B54">
        <v>166.92025540267699</v>
      </c>
      <c r="C54">
        <v>1</v>
      </c>
      <c r="D54">
        <v>8.9915568471861107E-3</v>
      </c>
      <c r="E54">
        <v>150.822797220642</v>
      </c>
    </row>
    <row r="55" spans="1:5" x14ac:dyDescent="0.35">
      <c r="A55" t="s">
        <v>117</v>
      </c>
      <c r="B55">
        <v>167.15788931291399</v>
      </c>
      <c r="C55">
        <v>1</v>
      </c>
      <c r="D55">
        <v>1.4236373510407799E-3</v>
      </c>
      <c r="E55">
        <v>151.03751418815401</v>
      </c>
    </row>
    <row r="56" spans="1:5" x14ac:dyDescent="0.35">
      <c r="A56" t="s">
        <v>118</v>
      </c>
      <c r="B56">
        <v>172.89118697598801</v>
      </c>
      <c r="C56">
        <v>1</v>
      </c>
      <c r="D56">
        <v>3.4298696200579501E-2</v>
      </c>
      <c r="E56">
        <v>156.21790400218401</v>
      </c>
    </row>
    <row r="57" spans="1:5" x14ac:dyDescent="0.35">
      <c r="A57" t="s">
        <v>119</v>
      </c>
      <c r="B57">
        <v>173.24182273532</v>
      </c>
      <c r="C57">
        <v>0</v>
      </c>
      <c r="D57">
        <v>0</v>
      </c>
      <c r="E57">
        <v>156.21790400218401</v>
      </c>
    </row>
    <row r="58" spans="1:5" x14ac:dyDescent="0.35">
      <c r="A58" t="s">
        <v>120</v>
      </c>
      <c r="B58">
        <v>173.24391520074801</v>
      </c>
      <c r="C58">
        <v>1</v>
      </c>
      <c r="D58" s="3">
        <v>1.2078292615180699E-5</v>
      </c>
      <c r="E58">
        <v>156.219790847741</v>
      </c>
    </row>
    <row r="59" spans="1:5" x14ac:dyDescent="0.35">
      <c r="A59" t="s">
        <v>121</v>
      </c>
      <c r="B59">
        <v>170.65065880662101</v>
      </c>
      <c r="C59">
        <v>1</v>
      </c>
      <c r="D59">
        <v>-1.4968816602429101E-2</v>
      </c>
      <c r="E59">
        <v>153.88136544887101</v>
      </c>
    </row>
    <row r="60" spans="1:5" x14ac:dyDescent="0.35">
      <c r="A60" t="s">
        <v>122</v>
      </c>
      <c r="B60">
        <v>178.22846386701701</v>
      </c>
      <c r="C60">
        <v>1</v>
      </c>
      <c r="D60">
        <v>4.4405366573959798E-2</v>
      </c>
      <c r="E60">
        <v>160.71452389052999</v>
      </c>
    </row>
    <row r="61" spans="1:5" x14ac:dyDescent="0.35">
      <c r="A61" t="s">
        <v>123</v>
      </c>
      <c r="B61">
        <v>182.51233579533999</v>
      </c>
      <c r="C61">
        <v>1</v>
      </c>
      <c r="D61">
        <v>2.4035846100987499E-2</v>
      </c>
      <c r="E61">
        <v>164.577433452956</v>
      </c>
    </row>
    <row r="62" spans="1:5" x14ac:dyDescent="0.35">
      <c r="A62" t="s">
        <v>124</v>
      </c>
      <c r="B62">
        <v>184.36791575713499</v>
      </c>
      <c r="C62">
        <v>1</v>
      </c>
      <c r="D62">
        <v>1.01668742209066E-2</v>
      </c>
      <c r="E62">
        <v>166.25067151847199</v>
      </c>
    </row>
    <row r="63" spans="1:5" x14ac:dyDescent="0.35">
      <c r="A63" t="s">
        <v>125</v>
      </c>
      <c r="B63">
        <v>191.53623722364199</v>
      </c>
      <c r="C63">
        <v>1</v>
      </c>
      <c r="D63">
        <v>3.8880525589657301E-2</v>
      </c>
      <c r="E63">
        <v>172.71458500674299</v>
      </c>
    </row>
    <row r="64" spans="1:5" x14ac:dyDescent="0.35">
      <c r="A64" t="s">
        <v>126</v>
      </c>
      <c r="B64">
        <v>189.128377358287</v>
      </c>
      <c r="C64">
        <v>1</v>
      </c>
      <c r="D64">
        <v>-1.2571301912668999E-2</v>
      </c>
      <c r="E64">
        <v>170.54333781390201</v>
      </c>
    </row>
    <row r="65" spans="1:5" x14ac:dyDescent="0.35">
      <c r="A65" t="s">
        <v>127</v>
      </c>
      <c r="B65">
        <v>191.33844248868601</v>
      </c>
      <c r="C65">
        <v>1</v>
      </c>
      <c r="D65">
        <v>1.16855289579922E-2</v>
      </c>
      <c r="E65">
        <v>172.53622692651899</v>
      </c>
    </row>
    <row r="66" spans="1:5" x14ac:dyDescent="0.35">
      <c r="A66" t="s">
        <v>128</v>
      </c>
      <c r="B66">
        <v>193.55101040041299</v>
      </c>
      <c r="C66">
        <v>1</v>
      </c>
      <c r="D66">
        <v>1.1563635006897201E-2</v>
      </c>
      <c r="E66">
        <v>174.53137288016501</v>
      </c>
    </row>
    <row r="67" spans="1:5" x14ac:dyDescent="0.35">
      <c r="A67" t="s">
        <v>129</v>
      </c>
      <c r="B67">
        <v>193.24813441013401</v>
      </c>
      <c r="C67">
        <v>1</v>
      </c>
      <c r="D67">
        <v>-1.5648380737063299E-3</v>
      </c>
      <c r="E67">
        <v>174.25825954282601</v>
      </c>
    </row>
    <row r="68" spans="1:5" x14ac:dyDescent="0.35">
      <c r="A68" t="s">
        <v>130</v>
      </c>
      <c r="B68">
        <v>196.886351959981</v>
      </c>
      <c r="C68">
        <v>1</v>
      </c>
      <c r="D68">
        <v>1.8826663248015602E-2</v>
      </c>
      <c r="E68">
        <v>177.53896111342399</v>
      </c>
    </row>
    <row r="69" spans="1:5" x14ac:dyDescent="0.35">
      <c r="A69" t="s">
        <v>131</v>
      </c>
      <c r="B69">
        <v>197.02171060874599</v>
      </c>
      <c r="C69">
        <v>1</v>
      </c>
      <c r="D69">
        <v>6.8749635217324402E-4</v>
      </c>
      <c r="E69">
        <v>177.661018501558</v>
      </c>
    </row>
    <row r="70" spans="1:5" x14ac:dyDescent="0.35">
      <c r="A70" t="s">
        <v>132</v>
      </c>
      <c r="B70">
        <v>200.707717260707</v>
      </c>
      <c r="C70">
        <v>1</v>
      </c>
      <c r="D70">
        <v>1.8708631858752101E-2</v>
      </c>
      <c r="E70">
        <v>180.98481309235501</v>
      </c>
    </row>
    <row r="71" spans="1:5" x14ac:dyDescent="0.35">
      <c r="A71" t="s">
        <v>133</v>
      </c>
      <c r="B71">
        <v>204.5497220259</v>
      </c>
      <c r="C71">
        <v>1</v>
      </c>
      <c r="D71">
        <v>1.9142287190696099E-2</v>
      </c>
      <c r="E71">
        <v>184.44927636172301</v>
      </c>
    </row>
    <row r="72" spans="1:5" x14ac:dyDescent="0.35">
      <c r="A72" t="s">
        <v>134</v>
      </c>
      <c r="B72">
        <v>210.52360861179901</v>
      </c>
      <c r="C72">
        <v>1</v>
      </c>
      <c r="D72">
        <v>2.9205058441202199E-2</v>
      </c>
      <c r="E72">
        <v>189.83612825730401</v>
      </c>
    </row>
    <row r="73" spans="1:5" x14ac:dyDescent="0.35">
      <c r="A73" t="s">
        <v>135</v>
      </c>
      <c r="B73">
        <v>213.51997722372101</v>
      </c>
      <c r="C73">
        <v>1</v>
      </c>
      <c r="D73">
        <v>1.4232933929268299E-2</v>
      </c>
      <c r="E73">
        <v>192.53805332817899</v>
      </c>
    </row>
    <row r="74" spans="1:5" x14ac:dyDescent="0.35">
      <c r="A74" t="s">
        <v>136</v>
      </c>
      <c r="B74">
        <v>223.95091507187399</v>
      </c>
      <c r="C74">
        <v>1</v>
      </c>
      <c r="D74">
        <v>4.8852280633316897E-2</v>
      </c>
      <c r="E74">
        <v>201.94397634196</v>
      </c>
    </row>
    <row r="75" spans="1:5" x14ac:dyDescent="0.35">
      <c r="A75" t="s">
        <v>137</v>
      </c>
      <c r="B75">
        <v>216.05324313484601</v>
      </c>
      <c r="C75">
        <v>1</v>
      </c>
      <c r="D75">
        <v>-3.5265191635827697E-2</v>
      </c>
      <c r="E75">
        <v>194.82238331655901</v>
      </c>
    </row>
    <row r="76" spans="1:5" x14ac:dyDescent="0.35">
      <c r="A76" t="s">
        <v>138</v>
      </c>
      <c r="B76">
        <v>213.23167391776701</v>
      </c>
      <c r="C76">
        <v>1</v>
      </c>
      <c r="D76">
        <v>-1.30596013100223E-2</v>
      </c>
      <c r="E76">
        <v>192.278080664177</v>
      </c>
    </row>
    <row r="77" spans="1:5" x14ac:dyDescent="0.35">
      <c r="A77" t="s">
        <v>139</v>
      </c>
      <c r="B77">
        <v>219.062043151762</v>
      </c>
      <c r="C77">
        <v>1</v>
      </c>
      <c r="D77">
        <v>2.7342885448823299E-2</v>
      </c>
      <c r="E77">
        <v>197.53551819809701</v>
      </c>
    </row>
    <row r="78" spans="1:5" x14ac:dyDescent="0.35">
      <c r="A78" t="s">
        <v>140</v>
      </c>
      <c r="B78">
        <v>223.98912221408199</v>
      </c>
      <c r="C78">
        <v>1</v>
      </c>
      <c r="D78">
        <v>2.2491705963443499E-2</v>
      </c>
      <c r="E78">
        <v>201.97842899074499</v>
      </c>
    </row>
    <row r="79" spans="1:5" x14ac:dyDescent="0.35">
      <c r="A79" t="s">
        <v>141</v>
      </c>
      <c r="B79">
        <v>223.08704126003599</v>
      </c>
      <c r="C79">
        <v>1</v>
      </c>
      <c r="D79">
        <v>-4.0273426902558401E-3</v>
      </c>
      <c r="E79">
        <v>201.16499264116001</v>
      </c>
    </row>
    <row r="80" spans="1:5" x14ac:dyDescent="0.35">
      <c r="A80" t="s">
        <v>142</v>
      </c>
      <c r="B80">
        <v>230.858010928775</v>
      </c>
      <c r="C80">
        <v>1</v>
      </c>
      <c r="D80">
        <v>3.4833801303951903E-2</v>
      </c>
      <c r="E80">
        <v>208.17233402413299</v>
      </c>
    </row>
    <row r="81" spans="1:5" x14ac:dyDescent="0.35">
      <c r="A81" t="s">
        <v>143</v>
      </c>
      <c r="B81">
        <v>238.625593404336</v>
      </c>
      <c r="C81">
        <v>1</v>
      </c>
      <c r="D81">
        <v>3.3646579749650102E-2</v>
      </c>
      <c r="E81">
        <v>215.17662106254701</v>
      </c>
    </row>
    <row r="82" spans="1:5" x14ac:dyDescent="0.35">
      <c r="A82" t="s">
        <v>144</v>
      </c>
      <c r="B82">
        <v>240.45839427664399</v>
      </c>
      <c r="C82">
        <v>1</v>
      </c>
      <c r="D82">
        <v>7.6806550636940802E-3</v>
      </c>
      <c r="E82">
        <v>216.82931846669899</v>
      </c>
    </row>
    <row r="83" spans="1:5" x14ac:dyDescent="0.35">
      <c r="A83" t="s">
        <v>145</v>
      </c>
      <c r="B83">
        <v>223.06663294247099</v>
      </c>
      <c r="C83">
        <v>1</v>
      </c>
      <c r="D83">
        <v>-7.2327528371348399E-2</v>
      </c>
      <c r="E83">
        <v>201.14658978355899</v>
      </c>
    </row>
    <row r="84" spans="1:5" x14ac:dyDescent="0.35">
      <c r="A84" t="s">
        <v>146</v>
      </c>
      <c r="B84">
        <v>224.81189104325901</v>
      </c>
      <c r="C84">
        <v>1</v>
      </c>
      <c r="D84">
        <v>7.8239317004353808E-3</v>
      </c>
      <c r="E84">
        <v>202.72034696380101</v>
      </c>
    </row>
    <row r="85" spans="1:5" x14ac:dyDescent="0.35">
      <c r="A85" t="s">
        <v>147</v>
      </c>
      <c r="B85">
        <v>202.33829325654401</v>
      </c>
      <c r="C85">
        <v>1</v>
      </c>
      <c r="D85">
        <v>-9.9966232579711406E-2</v>
      </c>
      <c r="E85">
        <v>182.455157610578</v>
      </c>
    </row>
    <row r="86" spans="1:5" x14ac:dyDescent="0.35">
      <c r="A86" t="s">
        <v>148</v>
      </c>
      <c r="B86">
        <v>218.311526804876</v>
      </c>
      <c r="C86">
        <v>1</v>
      </c>
      <c r="D86">
        <v>7.8943205911495798E-2</v>
      </c>
      <c r="E86">
        <v>196.858752687444</v>
      </c>
    </row>
    <row r="87" spans="1:5" x14ac:dyDescent="0.35">
      <c r="A87" t="s">
        <v>149</v>
      </c>
      <c r="B87">
        <v>225.279687004419</v>
      </c>
      <c r="C87">
        <v>1</v>
      </c>
      <c r="D87">
        <v>3.1918425479071401E-2</v>
      </c>
      <c r="E87">
        <v>203.14217411500101</v>
      </c>
    </row>
    <row r="88" spans="1:5" x14ac:dyDescent="0.35">
      <c r="A88" t="s">
        <v>150</v>
      </c>
      <c r="B88">
        <v>227.934223945887</v>
      </c>
      <c r="C88">
        <v>1</v>
      </c>
      <c r="D88">
        <v>1.1783294698096599E-2</v>
      </c>
      <c r="E88">
        <v>205.53585821821</v>
      </c>
    </row>
    <row r="89" spans="1:5" x14ac:dyDescent="0.35">
      <c r="A89" t="s">
        <v>151</v>
      </c>
      <c r="B89">
        <v>234.46528533654899</v>
      </c>
      <c r="C89">
        <v>1</v>
      </c>
      <c r="D89">
        <v>2.8653272323914299E-2</v>
      </c>
      <c r="E89">
        <v>211.42513313606599</v>
      </c>
    </row>
    <row r="90" spans="1:5" x14ac:dyDescent="0.35">
      <c r="A90" t="s">
        <v>152</v>
      </c>
      <c r="B90">
        <v>221.17561251233101</v>
      </c>
      <c r="C90">
        <v>1</v>
      </c>
      <c r="D90">
        <v>-5.6680769629251899E-2</v>
      </c>
      <c r="E90">
        <v>199.441393870947</v>
      </c>
    </row>
    <row r="91" spans="1:5" x14ac:dyDescent="0.35">
      <c r="A91" t="s">
        <v>153</v>
      </c>
      <c r="B91">
        <v>237.16952680975399</v>
      </c>
      <c r="C91">
        <v>1</v>
      </c>
      <c r="D91">
        <v>7.2313190933429805E-2</v>
      </c>
      <c r="E91">
        <v>213.86363746596601</v>
      </c>
    </row>
    <row r="92" spans="1:5" x14ac:dyDescent="0.35">
      <c r="A92" t="s">
        <v>154</v>
      </c>
      <c r="B92">
        <v>238.58934617924001</v>
      </c>
      <c r="C92">
        <v>1</v>
      </c>
      <c r="D92">
        <v>5.9865168539350302E-3</v>
      </c>
      <c r="E92">
        <v>215.14393573609999</v>
      </c>
    </row>
    <row r="93" spans="1:5" x14ac:dyDescent="0.35">
      <c r="A93" t="s">
        <v>155</v>
      </c>
      <c r="B93">
        <v>236.65522452738099</v>
      </c>
      <c r="C93">
        <v>0</v>
      </c>
      <c r="D93">
        <v>0</v>
      </c>
      <c r="E93">
        <v>215.14393573609999</v>
      </c>
    </row>
    <row r="94" spans="1:5" x14ac:dyDescent="0.35">
      <c r="A94" t="s">
        <v>156</v>
      </c>
      <c r="B94">
        <v>242.67906323801401</v>
      </c>
      <c r="C94">
        <v>0</v>
      </c>
      <c r="D94">
        <v>0</v>
      </c>
      <c r="E94">
        <v>215.14393573609999</v>
      </c>
    </row>
    <row r="95" spans="1:5" x14ac:dyDescent="0.35">
      <c r="A95" t="s">
        <v>157</v>
      </c>
      <c r="B95">
        <v>251.02934614772701</v>
      </c>
      <c r="C95">
        <v>0</v>
      </c>
      <c r="D95">
        <v>0</v>
      </c>
      <c r="E95">
        <v>215.14393573609999</v>
      </c>
    </row>
    <row r="96" spans="1:5" x14ac:dyDescent="0.35">
      <c r="A96" t="s">
        <v>158</v>
      </c>
      <c r="B96">
        <v>257.72861130888799</v>
      </c>
      <c r="C96">
        <v>0</v>
      </c>
      <c r="D96">
        <v>0</v>
      </c>
      <c r="E96">
        <v>215.14393573609999</v>
      </c>
    </row>
    <row r="97" spans="1:5" x14ac:dyDescent="0.35">
      <c r="A97" t="s">
        <v>159</v>
      </c>
      <c r="B97">
        <v>267.48926482830598</v>
      </c>
      <c r="C97">
        <v>0</v>
      </c>
      <c r="D97">
        <v>0</v>
      </c>
      <c r="E97">
        <v>215.14393573609999</v>
      </c>
    </row>
    <row r="98" spans="1:5" x14ac:dyDescent="0.35">
      <c r="A98" t="s">
        <v>160</v>
      </c>
      <c r="B98">
        <v>264.90386971389302</v>
      </c>
      <c r="C98">
        <v>1</v>
      </c>
      <c r="D98">
        <v>-9.6654163525873305E-3</v>
      </c>
      <c r="E98">
        <v>213.06448002147599</v>
      </c>
    </row>
    <row r="99" spans="1:5" x14ac:dyDescent="0.35">
      <c r="A99" t="s">
        <v>161</v>
      </c>
      <c r="B99">
        <v>242.13381639706401</v>
      </c>
      <c r="C99">
        <v>1</v>
      </c>
      <c r="D99">
        <v>-8.5955910502254901E-2</v>
      </c>
      <c r="E99">
        <v>194.750328645541</v>
      </c>
    </row>
    <row r="100" spans="1:5" x14ac:dyDescent="0.35">
      <c r="A100" t="s">
        <v>162</v>
      </c>
      <c r="B100">
        <v>203.102562403798</v>
      </c>
      <c r="C100">
        <v>0</v>
      </c>
      <c r="D100">
        <v>0</v>
      </c>
      <c r="E100">
        <v>194.750328645541</v>
      </c>
    </row>
    <row r="101" spans="1:5" x14ac:dyDescent="0.35">
      <c r="A101" t="s">
        <v>163</v>
      </c>
      <c r="B101">
        <v>239.679962545964</v>
      </c>
      <c r="C101">
        <v>0</v>
      </c>
      <c r="D101">
        <v>0</v>
      </c>
      <c r="E101">
        <v>194.750328645541</v>
      </c>
    </row>
    <row r="102" spans="1:5" x14ac:dyDescent="0.35">
      <c r="A102" t="s">
        <v>164</v>
      </c>
      <c r="B102">
        <v>257.92783362255</v>
      </c>
      <c r="C102">
        <v>0</v>
      </c>
      <c r="D102">
        <v>0</v>
      </c>
      <c r="E102">
        <v>194.750328645541</v>
      </c>
    </row>
    <row r="103" spans="1:5" x14ac:dyDescent="0.35">
      <c r="A103" t="s">
        <v>165</v>
      </c>
      <c r="B103">
        <v>261.44531351403998</v>
      </c>
      <c r="C103">
        <v>1</v>
      </c>
      <c r="D103">
        <v>1.36374575868283E-2</v>
      </c>
      <c r="E103">
        <v>197.40622799246501</v>
      </c>
    </row>
    <row r="104" spans="1:5" x14ac:dyDescent="0.35">
      <c r="A104" t="s">
        <v>166</v>
      </c>
      <c r="B104">
        <v>274.91673957636198</v>
      </c>
      <c r="C104">
        <v>1</v>
      </c>
      <c r="D104">
        <v>5.1526745234994301E-2</v>
      </c>
      <c r="E104">
        <v>207.57792841003399</v>
      </c>
    </row>
    <row r="105" spans="1:5" x14ac:dyDescent="0.35">
      <c r="A105" t="s">
        <v>167</v>
      </c>
      <c r="B105">
        <v>292.07447367544</v>
      </c>
      <c r="C105">
        <v>1</v>
      </c>
      <c r="D105">
        <v>6.2410656133626299E-2</v>
      </c>
      <c r="E105">
        <v>220.533003120963</v>
      </c>
    </row>
    <row r="106" spans="1:5" x14ac:dyDescent="0.35">
      <c r="A106" t="s">
        <v>168</v>
      </c>
      <c r="B106">
        <v>278.514881193355</v>
      </c>
      <c r="C106">
        <v>1</v>
      </c>
      <c r="D106">
        <v>-4.6425119975230598E-2</v>
      </c>
      <c r="E106">
        <v>210.29473199257501</v>
      </c>
    </row>
    <row r="107" spans="1:5" x14ac:dyDescent="0.35">
      <c r="A107" t="s">
        <v>169</v>
      </c>
      <c r="B107">
        <v>269.83815951732498</v>
      </c>
      <c r="C107">
        <v>1</v>
      </c>
      <c r="D107">
        <v>-3.11535298898684E-2</v>
      </c>
      <c r="E107">
        <v>203.74330877376201</v>
      </c>
    </row>
    <row r="108" spans="1:5" x14ac:dyDescent="0.35">
      <c r="A108" t="s">
        <v>170</v>
      </c>
      <c r="B108">
        <v>295.87407201972701</v>
      </c>
      <c r="C108">
        <v>1</v>
      </c>
      <c r="D108">
        <v>9.6487140843883601E-2</v>
      </c>
      <c r="E108">
        <v>223.401918103415</v>
      </c>
    </row>
    <row r="109" spans="1:5" x14ac:dyDescent="0.35">
      <c r="A109" t="s">
        <v>171</v>
      </c>
      <c r="B109">
        <v>303.51601348730901</v>
      </c>
      <c r="C109">
        <v>1</v>
      </c>
      <c r="D109">
        <v>2.5828358042377202E-2</v>
      </c>
      <c r="E109">
        <v>229.17202283154401</v>
      </c>
    </row>
    <row r="110" spans="1:5" x14ac:dyDescent="0.35">
      <c r="A110" t="s">
        <v>172</v>
      </c>
      <c r="B110">
        <v>304.56941417766001</v>
      </c>
      <c r="C110">
        <v>1</v>
      </c>
      <c r="D110">
        <v>3.4706593508799701E-3</v>
      </c>
      <c r="E110">
        <v>229.96740085554401</v>
      </c>
    </row>
    <row r="111" spans="1:5" x14ac:dyDescent="0.35">
      <c r="A111" t="s">
        <v>173</v>
      </c>
      <c r="B111">
        <v>307.91274512120901</v>
      </c>
      <c r="C111">
        <v>1</v>
      </c>
      <c r="D111">
        <v>1.09772379888377E-2</v>
      </c>
      <c r="E111">
        <v>232.49180774441001</v>
      </c>
    </row>
    <row r="112" spans="1:5" x14ac:dyDescent="0.35">
      <c r="A112" t="s">
        <v>174</v>
      </c>
      <c r="B112">
        <v>314.27367270209498</v>
      </c>
      <c r="C112">
        <v>1</v>
      </c>
      <c r="D112">
        <v>2.0658214645779799E-2</v>
      </c>
      <c r="E112">
        <v>237.29467341217901</v>
      </c>
    </row>
    <row r="113" spans="1:5" x14ac:dyDescent="0.35">
      <c r="A113" t="s">
        <v>175</v>
      </c>
      <c r="B113">
        <v>327.366769880927</v>
      </c>
      <c r="C113">
        <v>1</v>
      </c>
      <c r="D113">
        <v>4.1661450882153103E-2</v>
      </c>
      <c r="E113">
        <v>247.18071379313699</v>
      </c>
    </row>
    <row r="114" spans="1:5" x14ac:dyDescent="0.35">
      <c r="A114" t="s">
        <v>176</v>
      </c>
      <c r="B114">
        <v>328.80710979690298</v>
      </c>
      <c r="C114">
        <v>1</v>
      </c>
      <c r="D114">
        <v>4.3997743463706201E-3</v>
      </c>
      <c r="E114">
        <v>248.26825315660199</v>
      </c>
    </row>
    <row r="115" spans="1:5" x14ac:dyDescent="0.35">
      <c r="A115" t="s">
        <v>177</v>
      </c>
      <c r="B115">
        <v>336.47777259325301</v>
      </c>
      <c r="C115">
        <v>1</v>
      </c>
      <c r="D115">
        <v>2.33287619634732E-2</v>
      </c>
      <c r="E115">
        <v>254.06004413758001</v>
      </c>
    </row>
    <row r="116" spans="1:5" x14ac:dyDescent="0.35">
      <c r="A116" t="s">
        <v>178</v>
      </c>
      <c r="B116">
        <v>342.79411032342603</v>
      </c>
      <c r="C116">
        <v>1</v>
      </c>
      <c r="D116">
        <v>1.8771931594450501E-2</v>
      </c>
      <c r="E116">
        <v>258.82924190701402</v>
      </c>
    </row>
    <row r="117" spans="1:5" x14ac:dyDescent="0.35">
      <c r="A117" t="s">
        <v>179</v>
      </c>
      <c r="B117">
        <v>353.73779866285003</v>
      </c>
      <c r="C117">
        <v>1</v>
      </c>
      <c r="D117">
        <v>3.1924960230788203E-2</v>
      </c>
      <c r="E117">
        <v>267.09235516145998</v>
      </c>
    </row>
    <row r="118" spans="1:5" x14ac:dyDescent="0.35">
      <c r="A118" t="s">
        <v>180</v>
      </c>
      <c r="B118">
        <v>337.07255899766398</v>
      </c>
      <c r="C118">
        <v>1</v>
      </c>
      <c r="D118">
        <v>-4.7111843088812701E-2</v>
      </c>
      <c r="E118">
        <v>254.50914203487201</v>
      </c>
    </row>
    <row r="119" spans="1:5" x14ac:dyDescent="0.35">
      <c r="A119" t="s">
        <v>181</v>
      </c>
      <c r="B119">
        <v>356.48618472962499</v>
      </c>
      <c r="C119">
        <v>1</v>
      </c>
      <c r="D119">
        <v>5.7594797362593798E-2</v>
      </c>
      <c r="E119">
        <v>269.16754449729802</v>
      </c>
    </row>
    <row r="120" spans="1:5" x14ac:dyDescent="0.35">
      <c r="A120" t="s">
        <v>182</v>
      </c>
      <c r="B120">
        <v>353.01467518540198</v>
      </c>
      <c r="C120">
        <v>1</v>
      </c>
      <c r="D120">
        <v>-9.7381320593274891E-3</v>
      </c>
      <c r="E120">
        <v>266.54635540289797</v>
      </c>
    </row>
    <row r="121" spans="1:5" x14ac:dyDescent="0.35">
      <c r="A121" t="s">
        <v>183</v>
      </c>
      <c r="B121">
        <v>373.48924306787399</v>
      </c>
      <c r="C121">
        <v>1</v>
      </c>
      <c r="D121">
        <v>5.7999197545308599E-2</v>
      </c>
      <c r="E121">
        <v>282.00583012489301</v>
      </c>
    </row>
    <row r="122" spans="1:5" x14ac:dyDescent="0.35">
      <c r="A122" t="s">
        <v>184</v>
      </c>
      <c r="B122">
        <v>351.75430952441502</v>
      </c>
      <c r="C122">
        <v>1</v>
      </c>
      <c r="D122">
        <v>-5.8194269170714602E-2</v>
      </c>
      <c r="E122">
        <v>265.59470693889398</v>
      </c>
    </row>
    <row r="123" spans="1:5" x14ac:dyDescent="0.35">
      <c r="A123" t="s">
        <v>185</v>
      </c>
      <c r="B123">
        <v>339.080416711005</v>
      </c>
      <c r="C123">
        <v>1</v>
      </c>
      <c r="D123">
        <v>-3.60305260525337E-2</v>
      </c>
      <c r="E123">
        <v>256.02518993111698</v>
      </c>
    </row>
    <row r="124" spans="1:5" x14ac:dyDescent="0.35">
      <c r="A124" t="s">
        <v>186</v>
      </c>
      <c r="B124">
        <v>357.26787128729302</v>
      </c>
      <c r="C124">
        <v>1</v>
      </c>
      <c r="D124">
        <v>5.3637584714274898E-2</v>
      </c>
      <c r="E124">
        <v>269.75776274503602</v>
      </c>
    </row>
    <row r="125" spans="1:5" x14ac:dyDescent="0.35">
      <c r="A125" t="s">
        <v>187</v>
      </c>
      <c r="B125">
        <v>324.98977256087699</v>
      </c>
      <c r="C125">
        <v>1</v>
      </c>
      <c r="D125">
        <v>-9.0347051387837302E-2</v>
      </c>
      <c r="E125">
        <v>245.38594429204201</v>
      </c>
    </row>
    <row r="126" spans="1:5" x14ac:dyDescent="0.35">
      <c r="A126" t="s">
        <v>188</v>
      </c>
      <c r="B126">
        <v>323.77441431567399</v>
      </c>
      <c r="C126">
        <v>1</v>
      </c>
      <c r="D126">
        <v>-3.7396815155911201E-3</v>
      </c>
      <c r="E126">
        <v>244.46827901198699</v>
      </c>
    </row>
    <row r="127" spans="1:5" x14ac:dyDescent="0.35">
      <c r="A127" t="s">
        <v>189</v>
      </c>
      <c r="B127">
        <v>299.49836082946598</v>
      </c>
      <c r="C127">
        <v>1</v>
      </c>
      <c r="D127">
        <v>-7.4978294802935899E-2</v>
      </c>
      <c r="E127">
        <v>226.13846431825999</v>
      </c>
    </row>
    <row r="128" spans="1:5" x14ac:dyDescent="0.35">
      <c r="A128" t="s">
        <v>190</v>
      </c>
      <c r="B128">
        <v>323.65525349625</v>
      </c>
      <c r="C128">
        <v>1</v>
      </c>
      <c r="D128">
        <v>8.065784600584E-2</v>
      </c>
      <c r="E128">
        <v>244.37830574923899</v>
      </c>
    </row>
    <row r="129" spans="1:5" x14ac:dyDescent="0.35">
      <c r="A129" t="s">
        <v>191</v>
      </c>
      <c r="B129">
        <v>311.37152212542497</v>
      </c>
      <c r="C129">
        <v>1</v>
      </c>
      <c r="D129">
        <v>-3.7953134510042598E-2</v>
      </c>
      <c r="E129">
        <v>235.103383039802</v>
      </c>
    </row>
    <row r="130" spans="1:5" x14ac:dyDescent="0.35">
      <c r="A130" t="s">
        <v>192</v>
      </c>
      <c r="B130">
        <v>281.70254455917399</v>
      </c>
      <c r="C130">
        <v>1</v>
      </c>
      <c r="D130">
        <v>-9.5284813985973896E-2</v>
      </c>
      <c r="E130">
        <v>212.70160091938101</v>
      </c>
    </row>
    <row r="131" spans="1:5" x14ac:dyDescent="0.35">
      <c r="A131" t="s">
        <v>193</v>
      </c>
      <c r="B131">
        <v>296.76313591857701</v>
      </c>
      <c r="C131">
        <v>0</v>
      </c>
      <c r="D131">
        <v>0</v>
      </c>
      <c r="E131">
        <v>212.70160091938101</v>
      </c>
    </row>
    <row r="132" spans="1:5" x14ac:dyDescent="0.35">
      <c r="A132" t="s">
        <v>194</v>
      </c>
      <c r="B132">
        <v>314.63747903221798</v>
      </c>
      <c r="C132">
        <v>0</v>
      </c>
      <c r="D132">
        <v>0</v>
      </c>
      <c r="E132">
        <v>212.70160091938101</v>
      </c>
    </row>
    <row r="133" spans="1:5" x14ac:dyDescent="0.35">
      <c r="A133" t="s">
        <v>195</v>
      </c>
      <c r="B133">
        <v>296.72381943142301</v>
      </c>
      <c r="C133">
        <v>0</v>
      </c>
      <c r="D133">
        <v>0</v>
      </c>
      <c r="E133">
        <v>212.70160091938101</v>
      </c>
    </row>
    <row r="134" spans="1:5" x14ac:dyDescent="0.35">
      <c r="A134" t="s">
        <v>196</v>
      </c>
      <c r="B134">
        <v>316.71737259529198</v>
      </c>
      <c r="C134">
        <v>0</v>
      </c>
      <c r="D134">
        <v>0</v>
      </c>
      <c r="E134">
        <v>212.70160091938101</v>
      </c>
    </row>
    <row r="135" spans="1:5" x14ac:dyDescent="0.35">
      <c r="A135" t="s">
        <v>197</v>
      </c>
      <c r="B135">
        <v>305.50738425292798</v>
      </c>
      <c r="C135">
        <v>0</v>
      </c>
      <c r="D135">
        <v>0</v>
      </c>
      <c r="E135">
        <v>212.70160091938101</v>
      </c>
    </row>
    <row r="136" spans="1:5" x14ac:dyDescent="0.35">
      <c r="A136" t="s">
        <v>198</v>
      </c>
      <c r="B136">
        <v>318.05496301989001</v>
      </c>
      <c r="C136">
        <v>0</v>
      </c>
      <c r="D136">
        <v>0</v>
      </c>
      <c r="E136">
        <v>212.70160091938101</v>
      </c>
    </row>
    <row r="137" spans="1:5" x14ac:dyDescent="0.35">
      <c r="A137" t="s">
        <v>199</v>
      </c>
      <c r="B137">
        <v>321.90921110948199</v>
      </c>
      <c r="C137">
        <v>0</v>
      </c>
      <c r="D137">
        <v>0</v>
      </c>
      <c r="E137">
        <v>212.70160091938101</v>
      </c>
    </row>
    <row r="138" spans="1:5" x14ac:dyDescent="0.35">
      <c r="A138" t="s">
        <v>200</v>
      </c>
      <c r="B138">
        <v>323.72209926340003</v>
      </c>
      <c r="C138">
        <v>0</v>
      </c>
      <c r="D138">
        <v>0</v>
      </c>
      <c r="E138">
        <v>212.70160091938101</v>
      </c>
    </row>
    <row r="139" spans="1:5" x14ac:dyDescent="0.35">
      <c r="A139" t="s">
        <v>201</v>
      </c>
      <c r="B139">
        <v>341.45505830559102</v>
      </c>
      <c r="C139">
        <v>0</v>
      </c>
      <c r="D139">
        <v>0</v>
      </c>
      <c r="E139">
        <v>212.70160091938101</v>
      </c>
    </row>
    <row r="140" spans="1:5" x14ac:dyDescent="0.35">
      <c r="A140" t="s">
        <v>202</v>
      </c>
      <c r="B140">
        <v>352.22676410698398</v>
      </c>
      <c r="C140">
        <v>0</v>
      </c>
      <c r="D140">
        <v>0</v>
      </c>
      <c r="E140">
        <v>212.70160091938101</v>
      </c>
    </row>
    <row r="141" spans="1:5" x14ac:dyDescent="0.35">
      <c r="A141" t="s">
        <v>203</v>
      </c>
      <c r="B141">
        <v>347.49675395069897</v>
      </c>
      <c r="C141">
        <v>0</v>
      </c>
      <c r="D141">
        <v>0</v>
      </c>
      <c r="E141">
        <v>212.70160091938101</v>
      </c>
    </row>
    <row r="142" spans="1:5" x14ac:dyDescent="0.35">
      <c r="A142" t="s">
        <v>204</v>
      </c>
      <c r="B142">
        <v>330.39717338100797</v>
      </c>
      <c r="C142">
        <v>0</v>
      </c>
      <c r="D142">
        <v>0</v>
      </c>
      <c r="E142">
        <v>212.70160091938101</v>
      </c>
    </row>
    <row r="143" spans="1:5" x14ac:dyDescent="0.35">
      <c r="A143" t="s">
        <v>205</v>
      </c>
      <c r="B143">
        <v>323.35329968054702</v>
      </c>
      <c r="C143">
        <v>0</v>
      </c>
      <c r="D143">
        <v>0</v>
      </c>
      <c r="E143">
        <v>212.70160091938101</v>
      </c>
    </row>
    <row r="144" spans="1:5" x14ac:dyDescent="0.35">
      <c r="A144" t="s">
        <v>206</v>
      </c>
      <c r="B144">
        <v>349.16587124228897</v>
      </c>
      <c r="C144">
        <v>0</v>
      </c>
      <c r="D144">
        <v>0</v>
      </c>
      <c r="E144">
        <v>212.70160091938101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278CA-2733-40B6-B2AA-43BBB7883444}">
  <dimension ref="A3:Q17"/>
  <sheetViews>
    <sheetView showGridLines="0" workbookViewId="0">
      <selection activeCell="A20" sqref="A20:I33"/>
    </sheetView>
  </sheetViews>
  <sheetFormatPr defaultRowHeight="14.5" x14ac:dyDescent="0.35"/>
  <cols>
    <col min="1" max="1" width="12.36328125" bestFit="1" customWidth="1"/>
    <col min="2" max="17" width="7.1796875" customWidth="1"/>
  </cols>
  <sheetData>
    <row r="3" spans="1:17" x14ac:dyDescent="0.35">
      <c r="B3" s="1" t="s">
        <v>222</v>
      </c>
    </row>
    <row r="4" spans="1:17" x14ac:dyDescent="0.35">
      <c r="B4" t="s">
        <v>209</v>
      </c>
      <c r="F4" t="s">
        <v>210</v>
      </c>
      <c r="J4" t="s">
        <v>211</v>
      </c>
      <c r="N4" t="s">
        <v>212</v>
      </c>
    </row>
    <row r="5" spans="1:17" x14ac:dyDescent="0.35">
      <c r="A5" s="1" t="s">
        <v>33</v>
      </c>
      <c r="B5" t="s">
        <v>224</v>
      </c>
      <c r="C5" t="s">
        <v>223</v>
      </c>
      <c r="D5" t="s">
        <v>214</v>
      </c>
      <c r="E5" t="s">
        <v>213</v>
      </c>
      <c r="F5" t="s">
        <v>224</v>
      </c>
      <c r="G5" t="s">
        <v>223</v>
      </c>
      <c r="H5" t="s">
        <v>214</v>
      </c>
      <c r="I5" t="s">
        <v>213</v>
      </c>
      <c r="J5" t="s">
        <v>224</v>
      </c>
      <c r="K5" t="s">
        <v>223</v>
      </c>
      <c r="L5" t="s">
        <v>214</v>
      </c>
      <c r="M5" t="s">
        <v>213</v>
      </c>
      <c r="N5" t="s">
        <v>224</v>
      </c>
      <c r="O5" t="s">
        <v>223</v>
      </c>
      <c r="P5" t="s">
        <v>214</v>
      </c>
      <c r="Q5" t="s">
        <v>213</v>
      </c>
    </row>
    <row r="6" spans="1:17" x14ac:dyDescent="0.35">
      <c r="A6" s="2">
        <v>6040</v>
      </c>
      <c r="B6" s="7">
        <v>7.53866982460632E-2</v>
      </c>
      <c r="C6" s="8">
        <v>0.209522071856755</v>
      </c>
      <c r="D6" s="22">
        <v>7.0105390751852001E-2</v>
      </c>
      <c r="E6" s="22">
        <v>0.118851242315221</v>
      </c>
      <c r="F6" s="16">
        <v>0.21610862168661299</v>
      </c>
      <c r="G6" s="13">
        <v>0.209522071856755</v>
      </c>
      <c r="H6" s="22">
        <v>5.6624850620546001E-2</v>
      </c>
      <c r="I6" s="22">
        <v>0.118851242315221</v>
      </c>
      <c r="J6" s="19">
        <v>0.30389842216280699</v>
      </c>
      <c r="K6" s="8">
        <v>0.209522071856755</v>
      </c>
      <c r="L6" s="22">
        <v>5.4575067447404001E-2</v>
      </c>
      <c r="M6" s="22">
        <v>0.118851242315221</v>
      </c>
      <c r="N6" s="16">
        <v>0.18455259888224801</v>
      </c>
      <c r="O6" s="16">
        <v>0.209522071856755</v>
      </c>
      <c r="P6" s="23">
        <v>6.9834318254527405E-2</v>
      </c>
      <c r="Q6" s="26">
        <v>0.118851242315221</v>
      </c>
    </row>
    <row r="7" spans="1:17" x14ac:dyDescent="0.35">
      <c r="A7" s="2" t="s">
        <v>3</v>
      </c>
      <c r="B7" s="9">
        <v>-9.8609895858158894E-3</v>
      </c>
      <c r="C7" s="10">
        <v>9.5443679406394297E-2</v>
      </c>
      <c r="D7" s="22">
        <v>2.7735656192E-2</v>
      </c>
      <c r="E7" s="22">
        <v>4.31428166488943E-2</v>
      </c>
      <c r="F7" s="17">
        <v>0.10895057557327199</v>
      </c>
      <c r="G7" s="14">
        <v>9.5443679406394297E-2</v>
      </c>
      <c r="H7" s="22">
        <v>1.9975403155284299E-2</v>
      </c>
      <c r="I7" s="22">
        <v>4.31428166488943E-2</v>
      </c>
      <c r="J7" s="20">
        <v>7.7461956348068503E-2</v>
      </c>
      <c r="K7" s="10">
        <v>9.5443679406394297E-2</v>
      </c>
      <c r="L7" s="22">
        <v>2.1146000604050998E-2</v>
      </c>
      <c r="M7" s="22">
        <v>4.31428166488943E-2</v>
      </c>
      <c r="N7" s="17">
        <v>0.123270856109587</v>
      </c>
      <c r="O7" s="17">
        <v>9.5443679406394297E-2</v>
      </c>
      <c r="P7" s="24">
        <v>2.37150143120624E-2</v>
      </c>
      <c r="Q7" s="27">
        <v>4.31428166488943E-2</v>
      </c>
    </row>
    <row r="8" spans="1:17" x14ac:dyDescent="0.35">
      <c r="A8" s="2" t="s">
        <v>8</v>
      </c>
      <c r="B8" s="9">
        <v>0.35807555986196898</v>
      </c>
      <c r="C8" s="10">
        <v>0.60862506861903298</v>
      </c>
      <c r="D8" s="22">
        <v>1.42589641967529E-3</v>
      </c>
      <c r="E8" s="22">
        <v>4.0693106260246597E-3</v>
      </c>
      <c r="F8" s="17">
        <v>0.330817512023317</v>
      </c>
      <c r="G8" s="14">
        <v>0.60862506861903298</v>
      </c>
      <c r="H8" s="22">
        <v>1.9717936261353201E-3</v>
      </c>
      <c r="I8" s="22">
        <v>4.0693106260246597E-3</v>
      </c>
      <c r="J8" s="20">
        <v>0.27733304621927901</v>
      </c>
      <c r="K8" s="10">
        <v>0.60862506861903298</v>
      </c>
      <c r="L8" s="22">
        <v>2.0937011625001799E-3</v>
      </c>
      <c r="M8" s="22">
        <v>4.0693106260246597E-3</v>
      </c>
      <c r="N8" s="17">
        <v>0.28392045305725599</v>
      </c>
      <c r="O8" s="17">
        <v>0.60862506861903298</v>
      </c>
      <c r="P8" s="24">
        <v>2.4853721872499998E-3</v>
      </c>
      <c r="Q8" s="27">
        <v>4.0693106260246597E-3</v>
      </c>
    </row>
    <row r="9" spans="1:17" x14ac:dyDescent="0.35">
      <c r="A9" s="2" t="s">
        <v>7</v>
      </c>
      <c r="B9" s="9">
        <v>-6.6495520649001993E-2</v>
      </c>
      <c r="C9" s="10">
        <v>1.8087973899151501E-3</v>
      </c>
      <c r="D9" s="22">
        <v>0.10196186667852</v>
      </c>
      <c r="E9" s="22">
        <v>0.143983981967923</v>
      </c>
      <c r="F9" s="17">
        <v>-3.56033689419262E-2</v>
      </c>
      <c r="G9" s="14">
        <v>1.8087973899151501E-3</v>
      </c>
      <c r="H9" s="22">
        <v>9.0972135390667799E-2</v>
      </c>
      <c r="I9" s="22">
        <v>0.143983981967923</v>
      </c>
      <c r="J9" s="20">
        <v>-0.11382311959793</v>
      </c>
      <c r="K9" s="10">
        <v>1.8087973899151501E-3</v>
      </c>
      <c r="L9" s="22">
        <v>0.105848782486162</v>
      </c>
      <c r="M9" s="22">
        <v>0.143983981967923</v>
      </c>
      <c r="N9" s="17">
        <v>-1.4081613772650701E-3</v>
      </c>
      <c r="O9" s="17">
        <v>1.8087973899151501E-3</v>
      </c>
      <c r="P9" s="24">
        <v>0.107487850632321</v>
      </c>
      <c r="Q9" s="27">
        <v>0.143983981967923</v>
      </c>
    </row>
    <row r="10" spans="1:17" x14ac:dyDescent="0.35">
      <c r="A10" s="2" t="s">
        <v>12</v>
      </c>
      <c r="B10" s="9">
        <v>8.9440923824731997E-3</v>
      </c>
      <c r="C10" s="10">
        <v>8.5080586997388602E-2</v>
      </c>
      <c r="D10" s="22">
        <v>0.14661841961634201</v>
      </c>
      <c r="E10" s="22">
        <v>0.19993388214312299</v>
      </c>
      <c r="F10" s="17">
        <v>1.1672371799976199E-3</v>
      </c>
      <c r="G10" s="14">
        <v>8.5080586997388602E-2</v>
      </c>
      <c r="H10" s="22">
        <v>0.15291130741397699</v>
      </c>
      <c r="I10" s="22">
        <v>0.19993388214312299</v>
      </c>
      <c r="J10" s="20">
        <v>6.2036492832049997E-2</v>
      </c>
      <c r="K10" s="10">
        <v>8.5080586997388602E-2</v>
      </c>
      <c r="L10" s="22">
        <v>0.138604621420271</v>
      </c>
      <c r="M10" s="22">
        <v>0.19993388214312299</v>
      </c>
      <c r="N10" s="17">
        <v>-1.2299278428827999E-2</v>
      </c>
      <c r="O10" s="17">
        <v>8.5080586997388602E-2</v>
      </c>
      <c r="P10" s="24">
        <v>0.17966522924216799</v>
      </c>
      <c r="Q10" s="27">
        <v>0.19993388214312299</v>
      </c>
    </row>
    <row r="11" spans="1:17" x14ac:dyDescent="0.35">
      <c r="A11" s="2" t="s">
        <v>11</v>
      </c>
      <c r="B11" s="9">
        <v>-1.9163678471654299E-2</v>
      </c>
      <c r="C11" s="10">
        <v>8.0471358721508596E-2</v>
      </c>
      <c r="D11" s="22">
        <v>2.39797047311626E-2</v>
      </c>
      <c r="E11" s="22">
        <v>3.7129319323325798E-2</v>
      </c>
      <c r="F11" s="17">
        <v>8.4944342260932601E-2</v>
      </c>
      <c r="G11" s="14">
        <v>8.0471358721508596E-2</v>
      </c>
      <c r="H11" s="22">
        <v>1.6913520667555901E-2</v>
      </c>
      <c r="I11" s="22">
        <v>3.7129319323325798E-2</v>
      </c>
      <c r="J11" s="20">
        <v>2.44664840946574E-2</v>
      </c>
      <c r="K11" s="10">
        <v>8.0471358721508596E-2</v>
      </c>
      <c r="L11" s="22">
        <v>1.57283429225843E-2</v>
      </c>
      <c r="M11" s="22">
        <v>3.7129319323325798E-2</v>
      </c>
      <c r="N11" s="17">
        <v>0.107827097300427</v>
      </c>
      <c r="O11" s="17">
        <v>8.0471358721508596E-2</v>
      </c>
      <c r="P11" s="24">
        <v>2.0159518450334198E-2</v>
      </c>
      <c r="Q11" s="27">
        <v>3.7129319323325798E-2</v>
      </c>
    </row>
    <row r="12" spans="1:17" x14ac:dyDescent="0.35">
      <c r="A12" s="2" t="s">
        <v>10</v>
      </c>
      <c r="B12" s="9">
        <v>6.2682879506158307E-2</v>
      </c>
      <c r="C12" s="10">
        <v>0.167451177150853</v>
      </c>
      <c r="D12" s="22">
        <v>1.9706081327694799E-2</v>
      </c>
      <c r="E12" s="22">
        <v>2.30992896024283E-2</v>
      </c>
      <c r="F12" s="17">
        <v>0.122045901597107</v>
      </c>
      <c r="G12" s="14">
        <v>0.167451177150853</v>
      </c>
      <c r="H12" s="22">
        <v>1.8494814645828899E-2</v>
      </c>
      <c r="I12" s="22">
        <v>2.30992896024283E-2</v>
      </c>
      <c r="J12" s="20">
        <v>0.11162435684765799</v>
      </c>
      <c r="K12" s="10">
        <v>0.167451177150853</v>
      </c>
      <c r="L12" s="22">
        <v>1.8615578027829899E-2</v>
      </c>
      <c r="M12" s="22">
        <v>2.30992896024283E-2</v>
      </c>
      <c r="N12" s="17">
        <v>0.13277214496499201</v>
      </c>
      <c r="O12" s="17">
        <v>0.167451177150853</v>
      </c>
      <c r="P12" s="24">
        <v>1.9262534559715799E-2</v>
      </c>
      <c r="Q12" s="27">
        <v>2.30992896024283E-2</v>
      </c>
    </row>
    <row r="13" spans="1:17" x14ac:dyDescent="0.35">
      <c r="A13" s="2" t="s">
        <v>2</v>
      </c>
      <c r="B13" s="9">
        <v>8.1481949170249299E-2</v>
      </c>
      <c r="C13" s="10">
        <v>0.21633696508792799</v>
      </c>
      <c r="D13" s="22">
        <v>8.7894889233642803E-2</v>
      </c>
      <c r="E13" s="22">
        <v>0.15121889015795101</v>
      </c>
      <c r="F13" s="17">
        <v>0.21510907440372901</v>
      </c>
      <c r="G13" s="14">
        <v>0.21633696508792799</v>
      </c>
      <c r="H13" s="22">
        <v>7.5226502983494897E-2</v>
      </c>
      <c r="I13" s="22">
        <v>0.15121889015795101</v>
      </c>
      <c r="J13" s="20">
        <v>0.31918181354324798</v>
      </c>
      <c r="K13" s="10">
        <v>0.21633696508792799</v>
      </c>
      <c r="L13" s="22">
        <v>7.1193312837567593E-2</v>
      </c>
      <c r="M13" s="22">
        <v>0.15121889015795101</v>
      </c>
      <c r="N13" s="17">
        <v>0.180809507854615</v>
      </c>
      <c r="O13" s="17">
        <v>0.21633696508792799</v>
      </c>
      <c r="P13" s="24">
        <v>9.2923712587594604E-2</v>
      </c>
      <c r="Q13" s="27">
        <v>0.15121889015795101</v>
      </c>
    </row>
    <row r="14" spans="1:17" x14ac:dyDescent="0.35">
      <c r="A14" s="2" t="s">
        <v>9</v>
      </c>
      <c r="B14" s="9">
        <v>8.7689057236657694E-2</v>
      </c>
      <c r="C14" s="10">
        <v>9.9414923067935701E-2</v>
      </c>
      <c r="D14" s="22">
        <v>3.1192225330731401E-2</v>
      </c>
      <c r="E14" s="22">
        <v>4.7652991009154801E-2</v>
      </c>
      <c r="F14" s="17">
        <v>0.117872113320504</v>
      </c>
      <c r="G14" s="14">
        <v>9.9414923067935701E-2</v>
      </c>
      <c r="H14" s="22">
        <v>2.66106483359441E-2</v>
      </c>
      <c r="I14" s="22">
        <v>4.7652991009154801E-2</v>
      </c>
      <c r="J14" s="20">
        <v>7.4461447929192695E-2</v>
      </c>
      <c r="K14" s="10">
        <v>9.9414923067935701E-2</v>
      </c>
      <c r="L14" s="22">
        <v>2.8600802366232199E-2</v>
      </c>
      <c r="M14" s="22">
        <v>4.7652991009154801E-2</v>
      </c>
      <c r="N14" s="17">
        <v>0.10860668082408099</v>
      </c>
      <c r="O14" s="17">
        <v>9.9414923067935701E-2</v>
      </c>
      <c r="P14" s="24">
        <v>3.2122899905281603E-2</v>
      </c>
      <c r="Q14" s="27">
        <v>4.7652991009154801E-2</v>
      </c>
    </row>
    <row r="15" spans="1:17" x14ac:dyDescent="0.35">
      <c r="A15" s="2" t="s">
        <v>6</v>
      </c>
      <c r="B15" s="9">
        <v>-7.3313744933584404E-2</v>
      </c>
      <c r="C15" s="10">
        <v>0.157023383418472</v>
      </c>
      <c r="D15" s="22">
        <v>0.13314002849289899</v>
      </c>
      <c r="E15" s="22">
        <v>0.245334675441674</v>
      </c>
      <c r="F15" s="17">
        <v>0.124346824270172</v>
      </c>
      <c r="G15" s="14">
        <v>0.157023383418472</v>
      </c>
      <c r="H15" s="22">
        <v>0.124836121252401</v>
      </c>
      <c r="I15" s="22">
        <v>0.245334675441674</v>
      </c>
      <c r="J15" s="20">
        <v>0.172748198831297</v>
      </c>
      <c r="K15" s="10">
        <v>0.157023383418472</v>
      </c>
      <c r="L15" s="22">
        <v>0.125323691497326</v>
      </c>
      <c r="M15" s="22">
        <v>0.245334675441674</v>
      </c>
      <c r="N15" s="17">
        <v>0.13759599571530101</v>
      </c>
      <c r="O15" s="17">
        <v>0.157023383418472</v>
      </c>
      <c r="P15" s="24">
        <v>0.14762312500738001</v>
      </c>
      <c r="Q15" s="27">
        <v>0.245334675441674</v>
      </c>
    </row>
    <row r="16" spans="1:17" x14ac:dyDescent="0.35">
      <c r="A16" s="2" t="s">
        <v>5</v>
      </c>
      <c r="B16" s="9">
        <v>-5.9337338222646497E-3</v>
      </c>
      <c r="C16" s="10">
        <v>2.8726129483930499E-2</v>
      </c>
      <c r="D16" s="22">
        <v>0.228355407981925</v>
      </c>
      <c r="E16" s="22">
        <v>0.32127581638574099</v>
      </c>
      <c r="F16" s="17">
        <v>-1.5605050646974501E-2</v>
      </c>
      <c r="G16" s="14">
        <v>2.8726129483930499E-2</v>
      </c>
      <c r="H16" s="22">
        <v>0.17610395943368601</v>
      </c>
      <c r="I16" s="22">
        <v>0.32127581638574099</v>
      </c>
      <c r="J16" s="20">
        <v>9.9969515713825494E-2</v>
      </c>
      <c r="K16" s="10">
        <v>2.8726129483930499E-2</v>
      </c>
      <c r="L16" s="22">
        <v>0.19576627882550099</v>
      </c>
      <c r="M16" s="22">
        <v>0.32127581638574099</v>
      </c>
      <c r="N16" s="17">
        <v>-4.1187887354997198E-2</v>
      </c>
      <c r="O16" s="17">
        <v>2.8726129483930499E-2</v>
      </c>
      <c r="P16" s="24">
        <v>0.21064643845956799</v>
      </c>
      <c r="Q16" s="27">
        <v>0.32127581638574099</v>
      </c>
    </row>
    <row r="17" spans="1:17" x14ac:dyDescent="0.35">
      <c r="A17" s="2" t="s">
        <v>4</v>
      </c>
      <c r="B17" s="11">
        <v>7.2961347575583896E-2</v>
      </c>
      <c r="C17" s="12">
        <v>3.5283773087837297E-2</v>
      </c>
      <c r="D17" s="22">
        <v>0.25877363686920701</v>
      </c>
      <c r="E17" s="22">
        <v>0.41590313681207802</v>
      </c>
      <c r="F17" s="18">
        <v>-2.2563972831612399E-2</v>
      </c>
      <c r="G17" s="15">
        <v>3.5283773087837297E-2</v>
      </c>
      <c r="H17" s="22">
        <v>0.21104115625500899</v>
      </c>
      <c r="I17" s="22">
        <v>0.41590313681207802</v>
      </c>
      <c r="J17" s="21">
        <v>9.1269439965085894E-2</v>
      </c>
      <c r="K17" s="12">
        <v>3.5283773087837297E-2</v>
      </c>
      <c r="L17" s="22">
        <v>0.21688470194175299</v>
      </c>
      <c r="M17" s="22">
        <v>0.41590313681207802</v>
      </c>
      <c r="N17" s="18">
        <v>-6.6132453128012997E-2</v>
      </c>
      <c r="O17" s="18">
        <v>3.5283773087837297E-2</v>
      </c>
      <c r="P17" s="25">
        <v>0.25421323745771501</v>
      </c>
      <c r="Q17" s="28">
        <v>0.41590313681207802</v>
      </c>
    </row>
  </sheetData>
  <pageMargins left="0.7" right="0.7" top="0.75" bottom="0.75" header="0.3" footer="0.3"/>
  <pageSetup paperSize="12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F3C0D-EBDA-43D0-A330-E111E635C594}">
  <dimension ref="C4:V54"/>
  <sheetViews>
    <sheetView showGridLines="0" tabSelected="1" workbookViewId="0">
      <selection activeCell="K12" sqref="K12"/>
    </sheetView>
  </sheetViews>
  <sheetFormatPr defaultRowHeight="14.5" x14ac:dyDescent="0.35"/>
  <cols>
    <col min="4" max="4" width="9.7265625" customWidth="1"/>
    <col min="5" max="5" width="9.6328125" customWidth="1"/>
    <col min="6" max="6" width="9.7265625" customWidth="1"/>
    <col min="7" max="7" width="12.90625" customWidth="1"/>
    <col min="8" max="8" width="8.81640625" customWidth="1"/>
    <col min="9" max="9" width="8.90625" customWidth="1"/>
    <col min="10" max="10" width="12.08984375" customWidth="1"/>
  </cols>
  <sheetData>
    <row r="4" spans="3:22" x14ac:dyDescent="0.35">
      <c r="C4" s="6" t="s">
        <v>221</v>
      </c>
      <c r="O4" t="s">
        <v>228</v>
      </c>
    </row>
    <row r="6" spans="3:22" x14ac:dyDescent="0.35">
      <c r="C6" t="s">
        <v>207</v>
      </c>
      <c r="D6" t="s">
        <v>208</v>
      </c>
      <c r="E6" t="s">
        <v>215</v>
      </c>
      <c r="F6" t="s">
        <v>216</v>
      </c>
      <c r="G6" t="s">
        <v>217</v>
      </c>
      <c r="H6" t="s">
        <v>218</v>
      </c>
      <c r="I6" t="s">
        <v>219</v>
      </c>
      <c r="J6" t="s">
        <v>220</v>
      </c>
      <c r="O6" s="29" t="s">
        <v>209</v>
      </c>
      <c r="P6" s="30" t="s">
        <v>209</v>
      </c>
      <c r="Q6" s="29" t="s">
        <v>210</v>
      </c>
      <c r="R6" s="30" t="s">
        <v>210</v>
      </c>
      <c r="S6" s="29" t="s">
        <v>211</v>
      </c>
      <c r="T6" s="30" t="s">
        <v>211</v>
      </c>
      <c r="U6" s="29" t="s">
        <v>212</v>
      </c>
      <c r="V6" s="30" t="s">
        <v>212</v>
      </c>
    </row>
    <row r="7" spans="3:22" x14ac:dyDescent="0.35">
      <c r="C7" s="2" t="s">
        <v>8</v>
      </c>
      <c r="D7" t="s">
        <v>209</v>
      </c>
      <c r="E7" s="4">
        <v>4.0693106260246597E-3</v>
      </c>
      <c r="F7" s="4">
        <v>2.4766844589964102E-3</v>
      </c>
      <c r="G7" s="5">
        <v>0.60862506861903298</v>
      </c>
      <c r="H7" s="4">
        <v>1.42589641967529E-3</v>
      </c>
      <c r="I7" s="4">
        <v>5.1057865878040905E-4</v>
      </c>
      <c r="J7" s="5">
        <v>0.35807555986196898</v>
      </c>
      <c r="N7" s="6" t="s">
        <v>227</v>
      </c>
      <c r="O7" s="31" t="s">
        <v>225</v>
      </c>
      <c r="P7" s="32" t="s">
        <v>226</v>
      </c>
      <c r="Q7" s="31" t="s">
        <v>225</v>
      </c>
      <c r="R7" s="32" t="s">
        <v>226</v>
      </c>
      <c r="S7" s="31" t="s">
        <v>225</v>
      </c>
      <c r="T7" s="32" t="s">
        <v>226</v>
      </c>
      <c r="U7" s="31" t="s">
        <v>225</v>
      </c>
      <c r="V7" s="32" t="s">
        <v>226</v>
      </c>
    </row>
    <row r="8" spans="3:22" x14ac:dyDescent="0.35">
      <c r="C8" s="2" t="s">
        <v>8</v>
      </c>
      <c r="D8" t="s">
        <v>210</v>
      </c>
      <c r="E8" s="4">
        <v>4.0693106260246597E-3</v>
      </c>
      <c r="F8" s="4">
        <v>2.4766844589964102E-3</v>
      </c>
      <c r="G8" s="5">
        <v>0.60862506861903298</v>
      </c>
      <c r="H8" s="4">
        <v>1.9717936261353201E-3</v>
      </c>
      <c r="I8" s="4">
        <v>6.5230386162152198E-4</v>
      </c>
      <c r="J8" s="5">
        <v>0.330817512023317</v>
      </c>
      <c r="N8" s="37">
        <v>6040</v>
      </c>
      <c r="O8" s="33">
        <v>0.3598031347151015</v>
      </c>
      <c r="P8" s="34">
        <v>0.58985829164424108</v>
      </c>
      <c r="Q8" s="33">
        <v>1.0314360667183602</v>
      </c>
      <c r="R8" s="34">
        <v>0.47643465493077297</v>
      </c>
      <c r="S8" s="33">
        <v>1.4504363166596346</v>
      </c>
      <c r="T8" s="34">
        <v>0.45918802685005422</v>
      </c>
      <c r="U8" s="33">
        <v>0.88082652699435882</v>
      </c>
      <c r="V8" s="34">
        <v>0.58757752038729749</v>
      </c>
    </row>
    <row r="9" spans="3:22" x14ac:dyDescent="0.35">
      <c r="C9" s="2" t="s">
        <v>2</v>
      </c>
      <c r="D9" t="s">
        <v>211</v>
      </c>
      <c r="E9" s="4">
        <v>0.15121889015795101</v>
      </c>
      <c r="F9" s="4">
        <v>3.2714235760736003E-2</v>
      </c>
      <c r="G9" s="5">
        <v>0.21633696508792799</v>
      </c>
      <c r="H9" s="4">
        <v>7.1193312837567593E-2</v>
      </c>
      <c r="I9" s="4">
        <v>2.2723610703646601E-2</v>
      </c>
      <c r="J9" s="5">
        <v>0.31918181354324798</v>
      </c>
      <c r="N9" s="37" t="s">
        <v>3</v>
      </c>
      <c r="O9" s="33">
        <v>-0.10331736629544949</v>
      </c>
      <c r="P9" s="34">
        <v>0.6428800515673061</v>
      </c>
      <c r="Q9" s="33">
        <v>1.1415169265359735</v>
      </c>
      <c r="R9" s="34">
        <v>0.46300646797932804</v>
      </c>
      <c r="S9" s="33">
        <v>0.811598597516756</v>
      </c>
      <c r="T9" s="34">
        <v>0.49013954689471917</v>
      </c>
      <c r="U9" s="33">
        <v>1.2915559927725127</v>
      </c>
      <c r="V9" s="34">
        <v>0.54968627813664517</v>
      </c>
    </row>
    <row r="10" spans="3:22" x14ac:dyDescent="0.35">
      <c r="C10" s="2">
        <v>6040</v>
      </c>
      <c r="D10" t="s">
        <v>211</v>
      </c>
      <c r="E10" s="4">
        <v>0.118851242315221</v>
      </c>
      <c r="F10" s="4">
        <v>2.49019585326344E-2</v>
      </c>
      <c r="G10" s="5">
        <v>0.209522071856755</v>
      </c>
      <c r="H10" s="4">
        <v>5.4575067447404001E-2</v>
      </c>
      <c r="I10" s="4">
        <v>1.65852768866948E-2</v>
      </c>
      <c r="J10" s="5">
        <v>0.30389842216280699</v>
      </c>
      <c r="N10" s="37" t="s">
        <v>8</v>
      </c>
      <c r="O10" s="33">
        <v>0.58833521378677434</v>
      </c>
      <c r="P10" s="34">
        <v>0.35040245159860384</v>
      </c>
      <c r="Q10" s="33">
        <v>0.54354894183695091</v>
      </c>
      <c r="R10" s="34">
        <v>0.48455225155951792</v>
      </c>
      <c r="S10" s="33">
        <v>0.45567141499535374</v>
      </c>
      <c r="T10" s="34">
        <v>0.51451003742752677</v>
      </c>
      <c r="U10" s="33">
        <v>0.46649483844211342</v>
      </c>
      <c r="V10" s="34">
        <v>0.61076000720003498</v>
      </c>
    </row>
    <row r="11" spans="3:22" x14ac:dyDescent="0.35">
      <c r="C11" s="2" t="s">
        <v>8</v>
      </c>
      <c r="D11" t="s">
        <v>212</v>
      </c>
      <c r="E11" s="4">
        <v>4.0693106260246597E-3</v>
      </c>
      <c r="F11" s="4">
        <v>2.4766844589964102E-3</v>
      </c>
      <c r="G11" s="5">
        <v>0.60862506861903298</v>
      </c>
      <c r="H11" s="4">
        <v>2.4853721872499998E-3</v>
      </c>
      <c r="I11" s="4">
        <v>7.0564799741992497E-4</v>
      </c>
      <c r="J11" s="5">
        <v>0.28392045305725599</v>
      </c>
      <c r="N11" s="37" t="s">
        <v>7</v>
      </c>
      <c r="O11" s="33">
        <v>-36.762282508667965</v>
      </c>
      <c r="P11" s="34">
        <v>0.70814729030924595</v>
      </c>
      <c r="Q11" s="33">
        <v>-19.683447765034831</v>
      </c>
      <c r="R11" s="34">
        <v>0.63182122168933152</v>
      </c>
      <c r="S11" s="33">
        <v>-62.927512076556781</v>
      </c>
      <c r="T11" s="34">
        <v>0.73514276407318124</v>
      </c>
      <c r="U11" s="33">
        <v>-0.77850697104949185</v>
      </c>
      <c r="V11" s="34">
        <v>0.74652644803411061</v>
      </c>
    </row>
    <row r="12" spans="3:22" x14ac:dyDescent="0.35">
      <c r="C12" s="2" t="s">
        <v>8</v>
      </c>
      <c r="D12" t="s">
        <v>211</v>
      </c>
      <c r="E12" s="4">
        <v>4.0693106260246597E-3</v>
      </c>
      <c r="F12" s="4">
        <v>2.4766844589964102E-3</v>
      </c>
      <c r="G12" s="5">
        <v>0.60862506861903298</v>
      </c>
      <c r="H12" s="4">
        <v>2.0937011625001799E-3</v>
      </c>
      <c r="I12" s="4">
        <v>5.8065252126902303E-4</v>
      </c>
      <c r="J12" s="5">
        <v>0.27733304621927901</v>
      </c>
      <c r="N12" s="37" t="s">
        <v>12</v>
      </c>
      <c r="O12" s="33">
        <v>0.10512494915846929</v>
      </c>
      <c r="P12" s="34">
        <v>0.73333453061940235</v>
      </c>
      <c r="Q12" s="33">
        <v>1.3719195191183227E-2</v>
      </c>
      <c r="R12" s="34">
        <v>0.76480937485380884</v>
      </c>
      <c r="S12" s="33">
        <v>0.72914979810792913</v>
      </c>
      <c r="T12" s="34">
        <v>0.69325228887943391</v>
      </c>
      <c r="U12" s="33">
        <v>-0.14456033817920771</v>
      </c>
      <c r="V12" s="34">
        <v>0.89862322141854045</v>
      </c>
    </row>
    <row r="13" spans="3:22" x14ac:dyDescent="0.35">
      <c r="C13" s="2">
        <v>6040</v>
      </c>
      <c r="D13" t="s">
        <v>210</v>
      </c>
      <c r="E13" s="4">
        <v>0.118851242315221</v>
      </c>
      <c r="F13" s="4">
        <v>2.49019585326344E-2</v>
      </c>
      <c r="G13" s="5">
        <v>0.209522071856755</v>
      </c>
      <c r="H13" s="4">
        <v>5.6624850620546001E-2</v>
      </c>
      <c r="I13" s="4">
        <v>1.22371184208165E-2</v>
      </c>
      <c r="J13" s="5">
        <v>0.21610862168661299</v>
      </c>
      <c r="N13" s="37" t="s">
        <v>11</v>
      </c>
      <c r="O13" s="33">
        <v>-0.23814284704667452</v>
      </c>
      <c r="P13" s="34">
        <v>0.64584283170787349</v>
      </c>
      <c r="Q13" s="33">
        <v>1.0555847895510735</v>
      </c>
      <c r="R13" s="34">
        <v>0.45553004945421394</v>
      </c>
      <c r="S13" s="33">
        <v>0.30403965439840319</v>
      </c>
      <c r="T13" s="34">
        <v>0.42360978356808343</v>
      </c>
      <c r="U13" s="33">
        <v>1.3399437888651766</v>
      </c>
      <c r="V13" s="34">
        <v>0.54295416177127054</v>
      </c>
    </row>
    <row r="14" spans="3:22" x14ac:dyDescent="0.35">
      <c r="C14" s="2" t="s">
        <v>2</v>
      </c>
      <c r="D14" t="s">
        <v>210</v>
      </c>
      <c r="E14" s="4">
        <v>0.15121889015795101</v>
      </c>
      <c r="F14" s="4">
        <v>3.2714235760736003E-2</v>
      </c>
      <c r="G14" s="5">
        <v>0.21633696508792799</v>
      </c>
      <c r="H14" s="4">
        <v>7.5226502983494897E-2</v>
      </c>
      <c r="I14" s="4">
        <v>1.6181903427408901E-2</v>
      </c>
      <c r="J14" s="5">
        <v>0.21510907440372901</v>
      </c>
      <c r="N14" s="37" t="s">
        <v>10</v>
      </c>
      <c r="O14" s="33">
        <v>0.37433525743261098</v>
      </c>
      <c r="P14" s="34">
        <v>0.85310334936115129</v>
      </c>
      <c r="Q14" s="33">
        <v>0.72884469177041733</v>
      </c>
      <c r="R14" s="34">
        <v>0.80066594965260929</v>
      </c>
      <c r="S14" s="33">
        <v>0.66660837353862323</v>
      </c>
      <c r="T14" s="34">
        <v>0.80589396246510314</v>
      </c>
      <c r="U14" s="33">
        <v>0.79290063661589294</v>
      </c>
      <c r="V14" s="34">
        <v>0.83390160006006575</v>
      </c>
    </row>
    <row r="15" spans="3:22" x14ac:dyDescent="0.35">
      <c r="C15" s="2">
        <v>6040</v>
      </c>
      <c r="D15" t="s">
        <v>212</v>
      </c>
      <c r="E15" s="4">
        <v>0.118851242315221</v>
      </c>
      <c r="F15" s="4">
        <v>2.49019585326344E-2</v>
      </c>
      <c r="G15" s="5">
        <v>0.209522071856755</v>
      </c>
      <c r="H15" s="4">
        <v>6.9834318254527405E-2</v>
      </c>
      <c r="I15" s="4">
        <v>1.2888104925043E-2</v>
      </c>
      <c r="J15" s="5">
        <v>0.18455259888224801</v>
      </c>
      <c r="N15" s="37" t="s">
        <v>2</v>
      </c>
      <c r="O15" s="33">
        <v>0.37664367315651198</v>
      </c>
      <c r="P15" s="34">
        <v>0.58124278747076452</v>
      </c>
      <c r="Q15" s="33">
        <v>0.99432417532667183</v>
      </c>
      <c r="R15" s="34">
        <v>0.49746763056466942</v>
      </c>
      <c r="S15" s="33">
        <v>1.4753919350468827</v>
      </c>
      <c r="T15" s="34">
        <v>0.47079642472712785</v>
      </c>
      <c r="U15" s="33">
        <v>0.83577722272810284</v>
      </c>
      <c r="V15" s="34">
        <v>0.61449804644468697</v>
      </c>
    </row>
    <row r="16" spans="3:22" x14ac:dyDescent="0.35">
      <c r="C16" s="2" t="s">
        <v>2</v>
      </c>
      <c r="D16" t="s">
        <v>212</v>
      </c>
      <c r="E16" s="4">
        <v>0.15121889015795101</v>
      </c>
      <c r="F16" s="4">
        <v>3.2714235760736003E-2</v>
      </c>
      <c r="G16" s="5">
        <v>0.21633696508792799</v>
      </c>
      <c r="H16" s="4">
        <v>9.2923712587594604E-2</v>
      </c>
      <c r="I16" s="4">
        <v>1.6801490740986601E-2</v>
      </c>
      <c r="J16" s="5">
        <v>0.180809507854615</v>
      </c>
      <c r="N16" s="37" t="s">
        <v>9</v>
      </c>
      <c r="O16" s="33">
        <v>0.88205125076378044</v>
      </c>
      <c r="P16" s="34">
        <v>0.6545701470184514</v>
      </c>
      <c r="Q16" s="33">
        <v>1.1856581455075459</v>
      </c>
      <c r="R16" s="34">
        <v>0.55842556306343549</v>
      </c>
      <c r="S16" s="33">
        <v>0.74899668612436665</v>
      </c>
      <c r="T16" s="34">
        <v>0.60018902823408482</v>
      </c>
      <c r="U16" s="33">
        <v>1.0924585310986366</v>
      </c>
      <c r="V16" s="34">
        <v>0.67410039170700431</v>
      </c>
    </row>
    <row r="17" spans="3:22" x14ac:dyDescent="0.35">
      <c r="C17" s="2" t="s">
        <v>6</v>
      </c>
      <c r="D17" t="s">
        <v>211</v>
      </c>
      <c r="E17" s="4">
        <v>0.245334675441674</v>
      </c>
      <c r="F17" s="4">
        <v>3.8523280807724498E-2</v>
      </c>
      <c r="G17" s="5">
        <v>0.157023383418472</v>
      </c>
      <c r="H17" s="4">
        <v>0.125323691497326</v>
      </c>
      <c r="I17" s="4">
        <v>2.1649441977052299E-2</v>
      </c>
      <c r="J17" s="5">
        <v>0.172748198831297</v>
      </c>
      <c r="N17" s="37" t="s">
        <v>6</v>
      </c>
      <c r="O17" s="33">
        <v>-0.4668969890821999</v>
      </c>
      <c r="P17" s="34">
        <v>0.54268736473231149</v>
      </c>
      <c r="Q17" s="33">
        <v>0.79190004420414262</v>
      </c>
      <c r="R17" s="34">
        <v>0.50884010190430506</v>
      </c>
      <c r="S17" s="33">
        <v>1.1001431447373535</v>
      </c>
      <c r="T17" s="34">
        <v>0.51082746974803617</v>
      </c>
      <c r="U17" s="33">
        <v>0.87627710421067406</v>
      </c>
      <c r="V17" s="34">
        <v>0.60172140257635942</v>
      </c>
    </row>
    <row r="18" spans="3:22" x14ac:dyDescent="0.35">
      <c r="C18" s="2" t="s">
        <v>6</v>
      </c>
      <c r="D18" t="s">
        <v>212</v>
      </c>
      <c r="E18" s="4">
        <v>0.245334675441674</v>
      </c>
      <c r="F18" s="4">
        <v>3.8523280807724498E-2</v>
      </c>
      <c r="G18" s="5">
        <v>0.157023383418472</v>
      </c>
      <c r="H18" s="4">
        <v>0.14762312500738001</v>
      </c>
      <c r="I18" s="4">
        <v>2.0312350875994901E-2</v>
      </c>
      <c r="J18" s="5">
        <v>0.13759599571530101</v>
      </c>
      <c r="N18" s="37" t="s">
        <v>5</v>
      </c>
      <c r="O18" s="33">
        <v>-0.20656224590173214</v>
      </c>
      <c r="P18" s="34">
        <v>0.7107768351532231</v>
      </c>
      <c r="Q18" s="33">
        <v>-0.54323540718230146</v>
      </c>
      <c r="R18" s="34">
        <v>0.54813948156697279</v>
      </c>
      <c r="S18" s="33">
        <v>3.4800899915788794</v>
      </c>
      <c r="T18" s="34">
        <v>0.60934022681138711</v>
      </c>
      <c r="U18" s="33">
        <v>-1.43381263313033</v>
      </c>
      <c r="V18" s="34">
        <v>0.65565606782757213</v>
      </c>
    </row>
    <row r="19" spans="3:22" x14ac:dyDescent="0.35">
      <c r="C19" s="2" t="s">
        <v>10</v>
      </c>
      <c r="D19" t="s">
        <v>212</v>
      </c>
      <c r="E19" s="4">
        <v>2.30992896024283E-2</v>
      </c>
      <c r="F19" s="4">
        <v>3.8680032352750898E-3</v>
      </c>
      <c r="G19" s="5">
        <v>0.167451177150853</v>
      </c>
      <c r="H19" s="4">
        <v>1.9262534559715799E-2</v>
      </c>
      <c r="I19" s="4">
        <v>2.5575280309557799E-3</v>
      </c>
      <c r="J19" s="5">
        <v>0.13277214496499201</v>
      </c>
      <c r="N19" s="37" t="s">
        <v>4</v>
      </c>
      <c r="O19" s="35">
        <v>2.0678442578674918</v>
      </c>
      <c r="P19" s="36">
        <v>0.62219688664221706</v>
      </c>
      <c r="Q19" s="35">
        <v>-0.639499998354497</v>
      </c>
      <c r="R19" s="36">
        <v>0.50742862357964369</v>
      </c>
      <c r="S19" s="35">
        <v>2.5867256242090355</v>
      </c>
      <c r="T19" s="36">
        <v>0.52147887992427033</v>
      </c>
      <c r="U19" s="35">
        <v>-1.8743021888101183</v>
      </c>
      <c r="V19" s="36">
        <v>0.61123183490818178</v>
      </c>
    </row>
    <row r="20" spans="3:22" x14ac:dyDescent="0.35">
      <c r="C20" s="2" t="s">
        <v>6</v>
      </c>
      <c r="D20" t="s">
        <v>210</v>
      </c>
      <c r="E20" s="4">
        <v>0.245334675441674</v>
      </c>
      <c r="F20" s="4">
        <v>3.8523280807724498E-2</v>
      </c>
      <c r="G20" s="5">
        <v>0.157023383418472</v>
      </c>
      <c r="H20" s="4">
        <v>0.124836121252401</v>
      </c>
      <c r="I20" s="4">
        <v>1.5522975231942199E-2</v>
      </c>
      <c r="J20" s="5">
        <v>0.124346824270172</v>
      </c>
    </row>
    <row r="21" spans="3:22" x14ac:dyDescent="0.35">
      <c r="C21" s="2" t="s">
        <v>3</v>
      </c>
      <c r="D21" t="s">
        <v>212</v>
      </c>
      <c r="E21" s="4">
        <v>4.31428166488943E-2</v>
      </c>
      <c r="F21" s="4">
        <v>4.1177091609259104E-3</v>
      </c>
      <c r="G21" s="5">
        <v>9.5443679406394297E-2</v>
      </c>
      <c r="H21" s="4">
        <v>2.37150143120624E-2</v>
      </c>
      <c r="I21" s="4">
        <v>2.9233701168990401E-3</v>
      </c>
      <c r="J21" s="5">
        <v>0.123270856109587</v>
      </c>
    </row>
    <row r="22" spans="3:22" x14ac:dyDescent="0.35">
      <c r="C22" s="2" t="s">
        <v>10</v>
      </c>
      <c r="D22" t="s">
        <v>210</v>
      </c>
      <c r="E22" s="4">
        <v>2.30992896024283E-2</v>
      </c>
      <c r="F22" s="4">
        <v>3.8680032352750898E-3</v>
      </c>
      <c r="G22" s="5">
        <v>0.167451177150853</v>
      </c>
      <c r="H22" s="4">
        <v>1.8494814645828899E-2</v>
      </c>
      <c r="I22" s="4">
        <v>2.2572163283215798E-3</v>
      </c>
      <c r="J22" s="5">
        <v>0.122045901597107</v>
      </c>
    </row>
    <row r="23" spans="3:22" x14ac:dyDescent="0.35">
      <c r="C23" s="2" t="s">
        <v>9</v>
      </c>
      <c r="D23" t="s">
        <v>210</v>
      </c>
      <c r="E23" s="4">
        <v>4.7652991009154801E-2</v>
      </c>
      <c r="F23" s="4">
        <v>4.7374184351321597E-3</v>
      </c>
      <c r="G23" s="5">
        <v>9.9414923067935701E-2</v>
      </c>
      <c r="H23" s="4">
        <v>2.66106483359441E-2</v>
      </c>
      <c r="I23" s="4">
        <v>3.1366533561864901E-3</v>
      </c>
      <c r="J23" s="5">
        <v>0.117872113320504</v>
      </c>
    </row>
    <row r="24" spans="3:22" x14ac:dyDescent="0.35">
      <c r="C24" s="2" t="s">
        <v>10</v>
      </c>
      <c r="D24" t="s">
        <v>211</v>
      </c>
      <c r="E24" s="4">
        <v>2.30992896024283E-2</v>
      </c>
      <c r="F24" s="4">
        <v>3.8680032352750898E-3</v>
      </c>
      <c r="G24" s="5">
        <v>0.167451177150853</v>
      </c>
      <c r="H24" s="4">
        <v>1.8615578027829899E-2</v>
      </c>
      <c r="I24" s="4">
        <v>2.07795192470391E-3</v>
      </c>
      <c r="J24" s="5">
        <v>0.11162435684765799</v>
      </c>
    </row>
    <row r="25" spans="3:22" x14ac:dyDescent="0.35">
      <c r="C25" s="2" t="s">
        <v>3</v>
      </c>
      <c r="D25" t="s">
        <v>210</v>
      </c>
      <c r="E25" s="4">
        <v>4.31428166488943E-2</v>
      </c>
      <c r="F25" s="4">
        <v>4.1177091609259104E-3</v>
      </c>
      <c r="G25" s="5">
        <v>9.5443679406394297E-2</v>
      </c>
      <c r="H25" s="4">
        <v>1.9975403155284299E-2</v>
      </c>
      <c r="I25" s="4">
        <v>2.1763316710763899E-3</v>
      </c>
      <c r="J25" s="5">
        <v>0.10895057557327199</v>
      </c>
    </row>
    <row r="26" spans="3:22" x14ac:dyDescent="0.35">
      <c r="C26" s="2" t="s">
        <v>9</v>
      </c>
      <c r="D26" t="s">
        <v>212</v>
      </c>
      <c r="E26" s="4">
        <v>4.7652991009154801E-2</v>
      </c>
      <c r="F26" s="4">
        <v>4.7374184351321597E-3</v>
      </c>
      <c r="G26" s="5">
        <v>9.9414923067935701E-2</v>
      </c>
      <c r="H26" s="4">
        <v>3.2122899905281603E-2</v>
      </c>
      <c r="I26" s="4">
        <v>3.4887615371568398E-3</v>
      </c>
      <c r="J26" s="5">
        <v>0.10860668082408099</v>
      </c>
    </row>
    <row r="27" spans="3:22" x14ac:dyDescent="0.35">
      <c r="C27" s="2" t="s">
        <v>11</v>
      </c>
      <c r="D27" t="s">
        <v>212</v>
      </c>
      <c r="E27" s="4">
        <v>3.7129319323325798E-2</v>
      </c>
      <c r="F27" s="4">
        <v>2.98784677435279E-3</v>
      </c>
      <c r="G27" s="5">
        <v>8.0471358721508596E-2</v>
      </c>
      <c r="H27" s="4">
        <v>2.0159518450334198E-2</v>
      </c>
      <c r="I27" s="4">
        <v>2.1737423574739599E-3</v>
      </c>
      <c r="J27" s="5">
        <v>0.107827097300427</v>
      </c>
    </row>
    <row r="28" spans="3:22" x14ac:dyDescent="0.35">
      <c r="C28" s="2" t="s">
        <v>5</v>
      </c>
      <c r="D28" t="s">
        <v>211</v>
      </c>
      <c r="E28" s="4">
        <v>0.32127581638574099</v>
      </c>
      <c r="F28" s="4">
        <v>9.2290107015523103E-3</v>
      </c>
      <c r="G28" s="5">
        <v>2.8726129483930499E-2</v>
      </c>
      <c r="H28" s="4">
        <v>0.19576627882550099</v>
      </c>
      <c r="I28" s="4">
        <v>1.9570660087283E-2</v>
      </c>
      <c r="J28" s="5">
        <v>9.9969515713825494E-2</v>
      </c>
    </row>
    <row r="29" spans="3:22" x14ac:dyDescent="0.35">
      <c r="C29" s="2" t="s">
        <v>4</v>
      </c>
      <c r="D29" t="s">
        <v>211</v>
      </c>
      <c r="E29" s="4">
        <v>0.41590313681207802</v>
      </c>
      <c r="F29" s="4">
        <v>1.4674631905797099E-2</v>
      </c>
      <c r="G29" s="5">
        <v>3.5283773087837297E-2</v>
      </c>
      <c r="H29" s="4">
        <v>0.21688470194175299</v>
      </c>
      <c r="I29" s="4">
        <v>1.9794945283218301E-2</v>
      </c>
      <c r="J29" s="5">
        <v>9.1269439965085894E-2</v>
      </c>
    </row>
    <row r="30" spans="3:22" x14ac:dyDescent="0.35">
      <c r="C30" s="2" t="s">
        <v>9</v>
      </c>
      <c r="D30" t="s">
        <v>209</v>
      </c>
      <c r="E30" s="4">
        <v>4.7652991009154801E-2</v>
      </c>
      <c r="F30" s="4">
        <v>4.7374184351321597E-3</v>
      </c>
      <c r="G30" s="5">
        <v>9.9414923067935701E-2</v>
      </c>
      <c r="H30" s="4">
        <v>3.1192225330731401E-2</v>
      </c>
      <c r="I30" s="4">
        <v>2.7352168323652301E-3</v>
      </c>
      <c r="J30" s="5">
        <v>8.7689057236657694E-2</v>
      </c>
    </row>
    <row r="31" spans="3:22" x14ac:dyDescent="0.35">
      <c r="C31" s="2" t="s">
        <v>11</v>
      </c>
      <c r="D31" t="s">
        <v>210</v>
      </c>
      <c r="E31" s="4">
        <v>3.7129319323325798E-2</v>
      </c>
      <c r="F31" s="4">
        <v>2.98784677435279E-3</v>
      </c>
      <c r="G31" s="5">
        <v>8.0471358721508596E-2</v>
      </c>
      <c r="H31" s="4">
        <v>1.6913520667555901E-2</v>
      </c>
      <c r="I31" s="4">
        <v>1.4367078884222301E-3</v>
      </c>
      <c r="J31" s="5">
        <v>8.4944342260932601E-2</v>
      </c>
    </row>
    <row r="32" spans="3:22" x14ac:dyDescent="0.35">
      <c r="C32" s="2" t="s">
        <v>2</v>
      </c>
      <c r="D32" t="s">
        <v>209</v>
      </c>
      <c r="E32" s="4">
        <v>0.15121889015795101</v>
      </c>
      <c r="F32" s="4">
        <v>3.2714235760736003E-2</v>
      </c>
      <c r="G32" s="5">
        <v>0.21633696508792799</v>
      </c>
      <c r="H32" s="4">
        <v>8.7894889233642803E-2</v>
      </c>
      <c r="I32" s="4">
        <v>7.1618468968603702E-3</v>
      </c>
      <c r="J32" s="5">
        <v>8.1481949170249299E-2</v>
      </c>
    </row>
    <row r="33" spans="3:10" x14ac:dyDescent="0.35">
      <c r="C33" s="2" t="s">
        <v>3</v>
      </c>
      <c r="D33" t="s">
        <v>211</v>
      </c>
      <c r="E33" s="4">
        <v>4.31428166488943E-2</v>
      </c>
      <c r="F33" s="4">
        <v>4.1177091609259104E-3</v>
      </c>
      <c r="G33" s="5">
        <v>9.5443679406394297E-2</v>
      </c>
      <c r="H33" s="4">
        <v>2.1146000604050998E-2</v>
      </c>
      <c r="I33" s="4">
        <v>1.6380105757272301E-3</v>
      </c>
      <c r="J33" s="5">
        <v>7.7461956348068503E-2</v>
      </c>
    </row>
    <row r="34" spans="3:10" x14ac:dyDescent="0.35">
      <c r="C34" s="2">
        <v>6040</v>
      </c>
      <c r="D34" t="s">
        <v>209</v>
      </c>
      <c r="E34" s="4">
        <v>0.118851242315221</v>
      </c>
      <c r="F34" s="4">
        <v>2.49019585326344E-2</v>
      </c>
      <c r="G34" s="5">
        <v>0.209522071856755</v>
      </c>
      <c r="H34" s="4">
        <v>7.0105390751852001E-2</v>
      </c>
      <c r="I34" s="4">
        <v>5.2850139380322099E-3</v>
      </c>
      <c r="J34" s="5">
        <v>7.53866982460632E-2</v>
      </c>
    </row>
    <row r="35" spans="3:10" x14ac:dyDescent="0.35">
      <c r="C35" s="2" t="s">
        <v>9</v>
      </c>
      <c r="D35" t="s">
        <v>211</v>
      </c>
      <c r="E35" s="4">
        <v>4.7652991009154801E-2</v>
      </c>
      <c r="F35" s="4">
        <v>4.7374184351321597E-3</v>
      </c>
      <c r="G35" s="5">
        <v>9.9414923067935701E-2</v>
      </c>
      <c r="H35" s="4">
        <v>2.8600802366232199E-2</v>
      </c>
      <c r="I35" s="4">
        <v>2.1296571561263298E-3</v>
      </c>
      <c r="J35" s="5">
        <v>7.4461447929192695E-2</v>
      </c>
    </row>
    <row r="36" spans="3:10" x14ac:dyDescent="0.35">
      <c r="C36" s="2" t="s">
        <v>4</v>
      </c>
      <c r="D36" t="s">
        <v>209</v>
      </c>
      <c r="E36" s="4">
        <v>0.41590313681207802</v>
      </c>
      <c r="F36" s="4">
        <v>1.4674631905797099E-2</v>
      </c>
      <c r="G36" s="5">
        <v>3.5283773087837297E-2</v>
      </c>
      <c r="H36" s="4">
        <v>0.25877363686920701</v>
      </c>
      <c r="I36" s="4">
        <v>1.8880473263012201E-2</v>
      </c>
      <c r="J36" s="5">
        <v>7.2961347575583896E-2</v>
      </c>
    </row>
    <row r="37" spans="3:10" x14ac:dyDescent="0.35">
      <c r="C37" s="2" t="s">
        <v>10</v>
      </c>
      <c r="D37" t="s">
        <v>209</v>
      </c>
      <c r="E37" s="4">
        <v>2.30992896024283E-2</v>
      </c>
      <c r="F37" s="4">
        <v>3.8680032352750898E-3</v>
      </c>
      <c r="G37" s="5">
        <v>0.167451177150853</v>
      </c>
      <c r="H37" s="4">
        <v>1.9706081327694799E-2</v>
      </c>
      <c r="I37" s="4">
        <v>1.2352339214024501E-3</v>
      </c>
      <c r="J37" s="5">
        <v>6.2682879506158307E-2</v>
      </c>
    </row>
    <row r="38" spans="3:10" x14ac:dyDescent="0.35">
      <c r="C38" s="2" t="s">
        <v>12</v>
      </c>
      <c r="D38" t="s">
        <v>211</v>
      </c>
      <c r="E38" s="4">
        <v>0.19993388214312299</v>
      </c>
      <c r="F38" s="4">
        <v>1.70104920534036E-2</v>
      </c>
      <c r="G38" s="5">
        <v>8.5080586997388602E-2</v>
      </c>
      <c r="H38" s="4">
        <v>0.138604621420271</v>
      </c>
      <c r="I38" s="4">
        <v>8.5985446032276602E-3</v>
      </c>
      <c r="J38" s="5">
        <v>6.2036492832049997E-2</v>
      </c>
    </row>
    <row r="39" spans="3:10" x14ac:dyDescent="0.35">
      <c r="C39" s="2" t="s">
        <v>11</v>
      </c>
      <c r="D39" t="s">
        <v>211</v>
      </c>
      <c r="E39" s="4">
        <v>3.7129319323325798E-2</v>
      </c>
      <c r="F39" s="4">
        <v>2.98784677435279E-3</v>
      </c>
      <c r="G39" s="5">
        <v>8.0471358721508596E-2</v>
      </c>
      <c r="H39" s="4">
        <v>1.57283429225843E-2</v>
      </c>
      <c r="I39" s="4">
        <v>3.8481725195072799E-4</v>
      </c>
      <c r="J39" s="5">
        <v>2.44664840946574E-2</v>
      </c>
    </row>
    <row r="40" spans="3:10" x14ac:dyDescent="0.35">
      <c r="C40" s="2" t="s">
        <v>12</v>
      </c>
      <c r="D40" t="s">
        <v>209</v>
      </c>
      <c r="E40" s="4">
        <v>0.19993388214312299</v>
      </c>
      <c r="F40" s="4">
        <v>1.70104920534036E-2</v>
      </c>
      <c r="G40" s="5">
        <v>8.5080586997388602E-2</v>
      </c>
      <c r="H40" s="4">
        <v>0.14661841961634201</v>
      </c>
      <c r="I40" s="4">
        <v>1.3113686900207799E-3</v>
      </c>
      <c r="J40" s="5">
        <v>8.9440923824731997E-3</v>
      </c>
    </row>
    <row r="41" spans="3:10" x14ac:dyDescent="0.35">
      <c r="C41" s="2" t="s">
        <v>12</v>
      </c>
      <c r="D41" t="s">
        <v>210</v>
      </c>
      <c r="E41" s="4">
        <v>0.19993388214312299</v>
      </c>
      <c r="F41" s="4">
        <v>1.70104920534036E-2</v>
      </c>
      <c r="G41" s="5">
        <v>8.5080586997388602E-2</v>
      </c>
      <c r="H41" s="4">
        <v>0.15291130741397699</v>
      </c>
      <c r="I41" s="4">
        <v>1.7848376325564001E-4</v>
      </c>
      <c r="J41" s="5">
        <v>1.1672371799976199E-3</v>
      </c>
    </row>
    <row r="42" spans="3:10" x14ac:dyDescent="0.35">
      <c r="C42" s="2" t="s">
        <v>7</v>
      </c>
      <c r="D42" t="s">
        <v>212</v>
      </c>
      <c r="E42" s="4">
        <v>0.143983981967923</v>
      </c>
      <c r="F42" s="4">
        <v>2.6043785077317102E-4</v>
      </c>
      <c r="G42" s="5">
        <v>1.8087973899151501E-3</v>
      </c>
      <c r="H42" s="4">
        <v>0.107487850632321</v>
      </c>
      <c r="I42" s="4">
        <v>-1.5136023978567199E-4</v>
      </c>
      <c r="J42" s="5">
        <v>-1.4081613772650701E-3</v>
      </c>
    </row>
    <row r="43" spans="3:10" x14ac:dyDescent="0.35">
      <c r="C43" s="2" t="s">
        <v>5</v>
      </c>
      <c r="D43" t="s">
        <v>209</v>
      </c>
      <c r="E43" s="4">
        <v>0.32127581638574099</v>
      </c>
      <c r="F43" s="4">
        <v>9.2290107015523103E-3</v>
      </c>
      <c r="G43" s="5">
        <v>2.8726129483930499E-2</v>
      </c>
      <c r="H43" s="4">
        <v>0.228355407981925</v>
      </c>
      <c r="I43" s="4">
        <v>-1.3550002078393901E-3</v>
      </c>
      <c r="J43" s="5">
        <v>-5.9337338222646497E-3</v>
      </c>
    </row>
    <row r="44" spans="3:10" x14ac:dyDescent="0.35">
      <c r="C44" s="2" t="s">
        <v>3</v>
      </c>
      <c r="D44" t="s">
        <v>209</v>
      </c>
      <c r="E44" s="4">
        <v>4.31428166488943E-2</v>
      </c>
      <c r="F44" s="4">
        <v>4.1177091609259104E-3</v>
      </c>
      <c r="G44" s="5">
        <v>9.5443679406394297E-2</v>
      </c>
      <c r="H44" s="4">
        <v>2.7735656192E-2</v>
      </c>
      <c r="I44" s="4">
        <v>-2.7350101686508203E-4</v>
      </c>
      <c r="J44" s="5">
        <v>-9.8609895858158894E-3</v>
      </c>
    </row>
    <row r="45" spans="3:10" x14ac:dyDescent="0.35">
      <c r="C45" s="2" t="s">
        <v>12</v>
      </c>
      <c r="D45" t="s">
        <v>212</v>
      </c>
      <c r="E45" s="4">
        <v>0.19993388214312299</v>
      </c>
      <c r="F45" s="4">
        <v>1.70104920534036E-2</v>
      </c>
      <c r="G45" s="5">
        <v>8.5080586997388602E-2</v>
      </c>
      <c r="H45" s="4">
        <v>0.17966522924216799</v>
      </c>
      <c r="I45" s="4">
        <v>-2.2097526784286498E-3</v>
      </c>
      <c r="J45" s="5">
        <v>-1.2299278428827999E-2</v>
      </c>
    </row>
    <row r="46" spans="3:10" x14ac:dyDescent="0.35">
      <c r="C46" s="2" t="s">
        <v>5</v>
      </c>
      <c r="D46" t="s">
        <v>210</v>
      </c>
      <c r="E46" s="4">
        <v>0.32127581638574099</v>
      </c>
      <c r="F46" s="4">
        <v>9.2290107015523103E-3</v>
      </c>
      <c r="G46" s="5">
        <v>2.8726129483930499E-2</v>
      </c>
      <c r="H46" s="4">
        <v>0.17610395943368601</v>
      </c>
      <c r="I46" s="4">
        <v>-2.7481112060954299E-3</v>
      </c>
      <c r="J46" s="5">
        <v>-1.5605050646974501E-2</v>
      </c>
    </row>
    <row r="47" spans="3:10" x14ac:dyDescent="0.35">
      <c r="C47" s="2" t="s">
        <v>11</v>
      </c>
      <c r="D47" t="s">
        <v>209</v>
      </c>
      <c r="E47" s="4">
        <v>3.7129319323325798E-2</v>
      </c>
      <c r="F47" s="4">
        <v>2.98784677435279E-3</v>
      </c>
      <c r="G47" s="5">
        <v>8.0471358721508596E-2</v>
      </c>
      <c r="H47" s="4">
        <v>2.39797047311626E-2</v>
      </c>
      <c r="I47" s="4">
        <v>-4.5953935131320798E-4</v>
      </c>
      <c r="J47" s="5">
        <v>-1.9163678471654299E-2</v>
      </c>
    </row>
    <row r="48" spans="3:10" x14ac:dyDescent="0.35">
      <c r="C48" s="2" t="s">
        <v>4</v>
      </c>
      <c r="D48" t="s">
        <v>210</v>
      </c>
      <c r="E48" s="4">
        <v>0.41590313681207802</v>
      </c>
      <c r="F48" s="4">
        <v>1.4674631905797099E-2</v>
      </c>
      <c r="G48" s="5">
        <v>3.5283773087837297E-2</v>
      </c>
      <c r="H48" s="4">
        <v>0.21104115625500899</v>
      </c>
      <c r="I48" s="4">
        <v>-4.7619269160901001E-3</v>
      </c>
      <c r="J48" s="5">
        <v>-2.2563972831612399E-2</v>
      </c>
    </row>
    <row r="49" spans="3:10" x14ac:dyDescent="0.35">
      <c r="C49" s="2" t="s">
        <v>7</v>
      </c>
      <c r="D49" t="s">
        <v>210</v>
      </c>
      <c r="E49" s="4">
        <v>0.143983981967923</v>
      </c>
      <c r="F49" s="4">
        <v>2.6043785077317102E-4</v>
      </c>
      <c r="G49" s="5">
        <v>1.8087973899151501E-3</v>
      </c>
      <c r="H49" s="4">
        <v>9.0972135390667799E-2</v>
      </c>
      <c r="I49" s="4">
        <v>-3.2389144997488099E-3</v>
      </c>
      <c r="J49" s="5">
        <v>-3.56033689419262E-2</v>
      </c>
    </row>
    <row r="50" spans="3:10" x14ac:dyDescent="0.35">
      <c r="C50" s="2" t="s">
        <v>5</v>
      </c>
      <c r="D50" t="s">
        <v>212</v>
      </c>
      <c r="E50" s="4">
        <v>0.32127581638574099</v>
      </c>
      <c r="F50" s="4">
        <v>9.2290107015523103E-3</v>
      </c>
      <c r="G50" s="5">
        <v>2.8726129483930499E-2</v>
      </c>
      <c r="H50" s="4">
        <v>0.21064643845956799</v>
      </c>
      <c r="I50" s="4">
        <v>-8.67608177900407E-3</v>
      </c>
      <c r="J50" s="5">
        <v>-4.1187887354997198E-2</v>
      </c>
    </row>
    <row r="51" spans="3:10" x14ac:dyDescent="0.35">
      <c r="C51" s="2" t="s">
        <v>4</v>
      </c>
      <c r="D51" t="s">
        <v>212</v>
      </c>
      <c r="E51" s="4">
        <v>0.41590313681207802</v>
      </c>
      <c r="F51" s="4">
        <v>1.4674631905797099E-2</v>
      </c>
      <c r="G51" s="5">
        <v>3.5283773087837297E-2</v>
      </c>
      <c r="H51" s="4">
        <v>0.25421323745771501</v>
      </c>
      <c r="I51" s="4">
        <v>-1.68117450106928E-2</v>
      </c>
      <c r="J51" s="5">
        <v>-6.6132453128012997E-2</v>
      </c>
    </row>
    <row r="52" spans="3:10" x14ac:dyDescent="0.35">
      <c r="C52" s="2" t="s">
        <v>7</v>
      </c>
      <c r="D52" t="s">
        <v>209</v>
      </c>
      <c r="E52" s="4">
        <v>0.143983981967923</v>
      </c>
      <c r="F52" s="4">
        <v>2.6043785077317102E-4</v>
      </c>
      <c r="G52" s="5">
        <v>1.8087973899151501E-3</v>
      </c>
      <c r="H52" s="4">
        <v>0.10196186667852</v>
      </c>
      <c r="I52" s="4">
        <v>-6.7800074111323497E-3</v>
      </c>
      <c r="J52" s="5">
        <v>-6.6495520649001993E-2</v>
      </c>
    </row>
    <row r="53" spans="3:10" x14ac:dyDescent="0.35">
      <c r="C53" s="2" t="s">
        <v>6</v>
      </c>
      <c r="D53" t="s">
        <v>209</v>
      </c>
      <c r="E53" s="4">
        <v>0.245334675441674</v>
      </c>
      <c r="F53" s="4">
        <v>3.8523280807724498E-2</v>
      </c>
      <c r="G53" s="5">
        <v>0.157023383418472</v>
      </c>
      <c r="H53" s="4">
        <v>0.13314002849289899</v>
      </c>
      <c r="I53" s="4">
        <v>-9.7609940893785795E-3</v>
      </c>
      <c r="J53" s="5">
        <v>-7.3313744933584404E-2</v>
      </c>
    </row>
    <row r="54" spans="3:10" x14ac:dyDescent="0.35">
      <c r="C54" s="2" t="s">
        <v>7</v>
      </c>
      <c r="D54" t="s">
        <v>211</v>
      </c>
      <c r="E54" s="4">
        <v>0.143983981967923</v>
      </c>
      <c r="F54" s="4">
        <v>2.6043785077317102E-4</v>
      </c>
      <c r="G54" s="5">
        <v>1.8087973899151501E-3</v>
      </c>
      <c r="H54" s="4">
        <v>0.105848782486162</v>
      </c>
      <c r="I54" s="4">
        <v>-1.2048038628217799E-2</v>
      </c>
      <c r="J54" s="5">
        <v>-0.11382311959793</v>
      </c>
    </row>
  </sheetData>
  <phoneticPr fontId="1" type="noConversion"/>
  <conditionalFormatting sqref="O8:O19 Q8:Q19 S8:S19 U8:U19">
    <cfRule type="top10" dxfId="1" priority="1" percent="1" rank="20"/>
  </conditionalFormatting>
  <pageMargins left="0.7" right="0.7" top="0.75" bottom="0.75" header="0.3" footer="0.3"/>
  <pageSetup paperSize="12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8943-7DCF-46C6-BFF9-B97940BAAF42}">
  <dimension ref="A11:M28"/>
  <sheetViews>
    <sheetView workbookViewId="0">
      <selection activeCell="G36" sqref="G36"/>
    </sheetView>
  </sheetViews>
  <sheetFormatPr defaultRowHeight="14.5" x14ac:dyDescent="0.35"/>
  <cols>
    <col min="1" max="1" width="12.36328125" bestFit="1" customWidth="1"/>
    <col min="2" max="3" width="9.90625" bestFit="1" customWidth="1"/>
    <col min="4" max="4" width="10.1796875" bestFit="1" customWidth="1"/>
    <col min="5" max="5" width="10.6328125" bestFit="1" customWidth="1"/>
    <col min="6" max="6" width="10.1796875" bestFit="1" customWidth="1"/>
    <col min="7" max="7" width="9.54296875" bestFit="1" customWidth="1"/>
    <col min="8" max="8" width="9.08984375" bestFit="1" customWidth="1"/>
    <col min="9" max="9" width="9.36328125" bestFit="1" customWidth="1"/>
    <col min="10" max="10" width="10.54296875" bestFit="1" customWidth="1"/>
    <col min="11" max="11" width="10.1796875" bestFit="1" customWidth="1"/>
    <col min="12" max="12" width="14.08984375" bestFit="1" customWidth="1"/>
    <col min="13" max="13" width="11.08984375" bestFit="1" customWidth="1"/>
    <col min="14" max="14" width="2.81640625" bestFit="1" customWidth="1"/>
    <col min="15" max="15" width="3.81640625" bestFit="1" customWidth="1"/>
    <col min="16" max="16" width="2.81640625" bestFit="1" customWidth="1"/>
    <col min="17" max="24" width="3.81640625" bestFit="1" customWidth="1"/>
    <col min="25" max="25" width="2.81640625" bestFit="1" customWidth="1"/>
    <col min="26" max="26" width="10.7265625" bestFit="1" customWidth="1"/>
  </cols>
  <sheetData>
    <row r="11" spans="1:13" x14ac:dyDescent="0.35">
      <c r="A11" s="1" t="s">
        <v>0</v>
      </c>
      <c r="B11" t="s">
        <v>16</v>
      </c>
    </row>
    <row r="12" spans="1:13" x14ac:dyDescent="0.35">
      <c r="A12" s="1" t="s">
        <v>1</v>
      </c>
      <c r="B12" t="s">
        <v>15</v>
      </c>
    </row>
    <row r="14" spans="1:13" x14ac:dyDescent="0.35">
      <c r="A14" s="1" t="s">
        <v>33</v>
      </c>
      <c r="B14" t="s">
        <v>47</v>
      </c>
      <c r="C14" t="s">
        <v>48</v>
      </c>
      <c r="D14" t="s">
        <v>49</v>
      </c>
      <c r="E14" t="s">
        <v>50</v>
      </c>
      <c r="F14" t="s">
        <v>51</v>
      </c>
      <c r="G14" t="s">
        <v>52</v>
      </c>
      <c r="H14" t="s">
        <v>53</v>
      </c>
      <c r="I14" t="s">
        <v>54</v>
      </c>
      <c r="J14" t="s">
        <v>55</v>
      </c>
      <c r="K14" t="s">
        <v>56</v>
      </c>
      <c r="L14" t="s">
        <v>57</v>
      </c>
      <c r="M14" t="s">
        <v>58</v>
      </c>
    </row>
    <row r="15" spans="1:13" x14ac:dyDescent="0.35">
      <c r="A15" s="2" t="s">
        <v>19</v>
      </c>
      <c r="B15">
        <v>67</v>
      </c>
      <c r="C15">
        <v>60</v>
      </c>
      <c r="D15">
        <v>48</v>
      </c>
      <c r="E15">
        <v>49</v>
      </c>
      <c r="F15">
        <v>63</v>
      </c>
      <c r="G15">
        <v>44</v>
      </c>
      <c r="H15">
        <v>62</v>
      </c>
      <c r="I15">
        <v>58</v>
      </c>
      <c r="J15">
        <v>52</v>
      </c>
      <c r="K15">
        <v>56</v>
      </c>
      <c r="L15">
        <v>56</v>
      </c>
      <c r="M15">
        <v>67</v>
      </c>
    </row>
    <row r="16" spans="1:13" x14ac:dyDescent="0.35">
      <c r="A16" s="2" t="s">
        <v>35</v>
      </c>
      <c r="B16">
        <v>67</v>
      </c>
      <c r="C16">
        <v>60</v>
      </c>
      <c r="D16">
        <v>49</v>
      </c>
      <c r="E16">
        <v>50</v>
      </c>
      <c r="F16">
        <v>63</v>
      </c>
      <c r="G16">
        <v>44</v>
      </c>
      <c r="H16">
        <v>63</v>
      </c>
      <c r="I16">
        <v>58</v>
      </c>
      <c r="J16">
        <v>52</v>
      </c>
      <c r="K16">
        <v>56</v>
      </c>
      <c r="L16">
        <v>56</v>
      </c>
      <c r="M16">
        <v>67</v>
      </c>
    </row>
    <row r="17" spans="1:13" x14ac:dyDescent="0.35">
      <c r="A17" s="2" t="s">
        <v>36</v>
      </c>
      <c r="B17">
        <v>67</v>
      </c>
      <c r="C17">
        <v>59</v>
      </c>
      <c r="D17">
        <v>49</v>
      </c>
      <c r="E17">
        <v>49</v>
      </c>
      <c r="F17">
        <v>62</v>
      </c>
      <c r="G17">
        <v>44</v>
      </c>
      <c r="H17">
        <v>63</v>
      </c>
      <c r="I17">
        <v>58</v>
      </c>
      <c r="J17">
        <v>52</v>
      </c>
      <c r="K17">
        <v>55</v>
      </c>
      <c r="L17">
        <v>56</v>
      </c>
      <c r="M17">
        <v>67</v>
      </c>
    </row>
    <row r="18" spans="1:13" x14ac:dyDescent="0.35">
      <c r="A18" s="2" t="s">
        <v>37</v>
      </c>
      <c r="B18">
        <v>66</v>
      </c>
      <c r="C18">
        <v>58</v>
      </c>
      <c r="D18">
        <v>48</v>
      </c>
      <c r="E18">
        <v>49</v>
      </c>
      <c r="F18">
        <v>62</v>
      </c>
      <c r="G18">
        <v>44</v>
      </c>
      <c r="H18">
        <v>62</v>
      </c>
      <c r="I18">
        <v>58</v>
      </c>
      <c r="J18">
        <v>52</v>
      </c>
      <c r="K18">
        <v>55</v>
      </c>
      <c r="L18">
        <v>55</v>
      </c>
      <c r="M18">
        <v>66</v>
      </c>
    </row>
    <row r="19" spans="1:13" x14ac:dyDescent="0.35">
      <c r="A19" s="2" t="s">
        <v>38</v>
      </c>
      <c r="B19">
        <v>65</v>
      </c>
      <c r="C19">
        <v>58</v>
      </c>
      <c r="D19">
        <v>48</v>
      </c>
      <c r="E19">
        <v>49</v>
      </c>
      <c r="F19">
        <v>61</v>
      </c>
      <c r="G19">
        <v>44</v>
      </c>
      <c r="H19">
        <v>62</v>
      </c>
      <c r="I19">
        <v>58</v>
      </c>
      <c r="J19">
        <v>52</v>
      </c>
      <c r="K19">
        <v>55</v>
      </c>
      <c r="L19">
        <v>54</v>
      </c>
      <c r="M19">
        <v>65</v>
      </c>
    </row>
    <row r="20" spans="1:13" x14ac:dyDescent="0.35">
      <c r="A20" s="2" t="s">
        <v>39</v>
      </c>
      <c r="B20">
        <v>65</v>
      </c>
      <c r="C20">
        <v>58</v>
      </c>
      <c r="D20">
        <v>48</v>
      </c>
      <c r="E20">
        <v>49</v>
      </c>
      <c r="F20">
        <v>60</v>
      </c>
      <c r="G20">
        <v>44</v>
      </c>
      <c r="H20">
        <v>62</v>
      </c>
      <c r="I20">
        <v>57</v>
      </c>
      <c r="J20">
        <v>51</v>
      </c>
      <c r="K20">
        <v>54</v>
      </c>
      <c r="L20">
        <v>54</v>
      </c>
      <c r="M20">
        <v>65</v>
      </c>
    </row>
    <row r="21" spans="1:13" x14ac:dyDescent="0.35">
      <c r="A21" s="2" t="s">
        <v>40</v>
      </c>
      <c r="B21">
        <v>65</v>
      </c>
      <c r="C21">
        <v>57</v>
      </c>
      <c r="D21">
        <v>48</v>
      </c>
      <c r="E21">
        <v>49</v>
      </c>
      <c r="F21">
        <v>60</v>
      </c>
      <c r="G21">
        <v>44</v>
      </c>
      <c r="H21">
        <v>62</v>
      </c>
      <c r="I21">
        <v>56</v>
      </c>
      <c r="J21">
        <v>51</v>
      </c>
      <c r="K21">
        <v>53</v>
      </c>
      <c r="L21">
        <v>54</v>
      </c>
      <c r="M21">
        <v>65</v>
      </c>
    </row>
    <row r="22" spans="1:13" x14ac:dyDescent="0.35">
      <c r="A22" s="2" t="s">
        <v>41</v>
      </c>
      <c r="B22">
        <v>65</v>
      </c>
      <c r="C22">
        <v>57</v>
      </c>
      <c r="D22">
        <v>47</v>
      </c>
      <c r="E22">
        <v>49</v>
      </c>
      <c r="F22">
        <v>60</v>
      </c>
      <c r="G22">
        <v>44</v>
      </c>
      <c r="H22">
        <v>62</v>
      </c>
      <c r="I22">
        <v>56</v>
      </c>
      <c r="J22">
        <v>51</v>
      </c>
      <c r="K22">
        <v>53</v>
      </c>
      <c r="L22">
        <v>53</v>
      </c>
      <c r="M22">
        <v>65</v>
      </c>
    </row>
    <row r="23" spans="1:13" x14ac:dyDescent="0.35">
      <c r="A23" s="2" t="s">
        <v>42</v>
      </c>
      <c r="B23">
        <v>64</v>
      </c>
      <c r="C23">
        <v>56</v>
      </c>
      <c r="D23">
        <v>47</v>
      </c>
      <c r="E23">
        <v>49</v>
      </c>
      <c r="F23">
        <v>60</v>
      </c>
      <c r="G23">
        <v>43</v>
      </c>
      <c r="H23">
        <v>62</v>
      </c>
      <c r="I23">
        <v>56</v>
      </c>
      <c r="J23">
        <v>50</v>
      </c>
      <c r="K23">
        <v>53</v>
      </c>
      <c r="L23">
        <v>53</v>
      </c>
      <c r="M23">
        <v>64</v>
      </c>
    </row>
    <row r="24" spans="1:13" x14ac:dyDescent="0.35">
      <c r="A24" s="2" t="s">
        <v>43</v>
      </c>
      <c r="B24">
        <v>63</v>
      </c>
      <c r="C24">
        <v>56</v>
      </c>
      <c r="D24">
        <v>46</v>
      </c>
      <c r="E24">
        <v>48</v>
      </c>
      <c r="F24">
        <v>59</v>
      </c>
      <c r="G24">
        <v>42</v>
      </c>
      <c r="H24">
        <v>62</v>
      </c>
      <c r="I24">
        <v>56</v>
      </c>
      <c r="J24">
        <v>50</v>
      </c>
      <c r="K24">
        <v>52</v>
      </c>
      <c r="L24">
        <v>52</v>
      </c>
      <c r="M24">
        <v>63</v>
      </c>
    </row>
    <row r="25" spans="1:13" x14ac:dyDescent="0.35">
      <c r="A25" s="2" t="s">
        <v>44</v>
      </c>
      <c r="B25">
        <v>62</v>
      </c>
      <c r="C25">
        <v>55</v>
      </c>
      <c r="D25">
        <v>45</v>
      </c>
      <c r="E25">
        <v>47</v>
      </c>
      <c r="F25">
        <v>58</v>
      </c>
      <c r="G25">
        <v>42</v>
      </c>
      <c r="H25">
        <v>62</v>
      </c>
      <c r="I25">
        <v>55</v>
      </c>
      <c r="J25">
        <v>50</v>
      </c>
      <c r="K25">
        <v>51</v>
      </c>
      <c r="L25">
        <v>51</v>
      </c>
      <c r="M25">
        <v>62</v>
      </c>
    </row>
    <row r="26" spans="1:13" x14ac:dyDescent="0.35">
      <c r="A26" s="2" t="s">
        <v>45</v>
      </c>
      <c r="B26">
        <v>62</v>
      </c>
      <c r="C26">
        <v>55</v>
      </c>
      <c r="D26">
        <v>45</v>
      </c>
      <c r="E26">
        <v>47</v>
      </c>
      <c r="F26">
        <v>58</v>
      </c>
      <c r="G26">
        <v>42</v>
      </c>
      <c r="H26">
        <v>61</v>
      </c>
      <c r="I26">
        <v>54</v>
      </c>
      <c r="J26">
        <v>50</v>
      </c>
      <c r="K26">
        <v>51</v>
      </c>
      <c r="L26">
        <v>51</v>
      </c>
      <c r="M26">
        <v>62</v>
      </c>
    </row>
    <row r="27" spans="1:13" x14ac:dyDescent="0.35">
      <c r="A27" s="2" t="s">
        <v>46</v>
      </c>
      <c r="B27">
        <v>62</v>
      </c>
      <c r="C27">
        <v>54</v>
      </c>
      <c r="D27">
        <v>45</v>
      </c>
      <c r="E27">
        <v>47</v>
      </c>
      <c r="F27">
        <v>58</v>
      </c>
      <c r="G27">
        <v>42</v>
      </c>
      <c r="H27">
        <v>61</v>
      </c>
      <c r="I27">
        <v>53</v>
      </c>
      <c r="J27">
        <v>49</v>
      </c>
      <c r="K27">
        <v>51</v>
      </c>
      <c r="L27">
        <v>51</v>
      </c>
      <c r="M27">
        <v>62</v>
      </c>
    </row>
    <row r="28" spans="1:13" x14ac:dyDescent="0.35">
      <c r="A28" s="2" t="s">
        <v>34</v>
      </c>
      <c r="B28">
        <v>840</v>
      </c>
      <c r="C28">
        <v>743</v>
      </c>
      <c r="D28">
        <v>613</v>
      </c>
      <c r="E28">
        <v>631</v>
      </c>
      <c r="F28">
        <v>784</v>
      </c>
      <c r="G28">
        <v>563</v>
      </c>
      <c r="H28">
        <v>806</v>
      </c>
      <c r="I28">
        <v>733</v>
      </c>
      <c r="J28">
        <v>662</v>
      </c>
      <c r="K28">
        <v>695</v>
      </c>
      <c r="L28">
        <v>696</v>
      </c>
      <c r="M28">
        <v>840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803BF-18AB-437E-AEA5-7674B497B2A4}">
  <dimension ref="B4:AJ108"/>
  <sheetViews>
    <sheetView topLeftCell="A4" workbookViewId="0">
      <selection activeCell="AD19" sqref="AD19"/>
    </sheetView>
  </sheetViews>
  <sheetFormatPr defaultRowHeight="14.5" x14ac:dyDescent="0.35"/>
  <cols>
    <col min="2" max="2" width="10.26953125" customWidth="1"/>
    <col min="3" max="3" width="8.81640625" customWidth="1"/>
    <col min="15" max="15" width="9.7265625" customWidth="1"/>
  </cols>
  <sheetData>
    <row r="4" spans="2:36" x14ac:dyDescent="0.35">
      <c r="B4" t="s">
        <v>0</v>
      </c>
      <c r="C4" t="s">
        <v>1</v>
      </c>
      <c r="D4" t="s">
        <v>18</v>
      </c>
      <c r="E4" t="s">
        <v>2</v>
      </c>
      <c r="F4" t="s">
        <v>3</v>
      </c>
      <c r="G4" t="s">
        <v>4</v>
      </c>
      <c r="H4" t="s">
        <v>5</v>
      </c>
      <c r="I4" t="s">
        <v>6</v>
      </c>
      <c r="J4" t="s">
        <v>7</v>
      </c>
      <c r="K4" t="s">
        <v>8</v>
      </c>
      <c r="L4" t="s">
        <v>9</v>
      </c>
      <c r="M4" t="s">
        <v>10</v>
      </c>
      <c r="N4" t="s">
        <v>11</v>
      </c>
      <c r="O4" t="s">
        <v>12</v>
      </c>
      <c r="P4" t="s">
        <v>32</v>
      </c>
      <c r="S4" t="s">
        <v>0</v>
      </c>
      <c r="T4" t="s">
        <v>1</v>
      </c>
      <c r="U4" t="s">
        <v>18</v>
      </c>
      <c r="V4" t="s">
        <v>2</v>
      </c>
      <c r="W4" t="s">
        <v>3</v>
      </c>
      <c r="X4" t="s">
        <v>4</v>
      </c>
      <c r="Y4" t="s">
        <v>5</v>
      </c>
      <c r="Z4" t="s">
        <v>6</v>
      </c>
      <c r="AA4" t="s">
        <v>7</v>
      </c>
      <c r="AB4" t="s">
        <v>8</v>
      </c>
      <c r="AC4" t="s">
        <v>9</v>
      </c>
      <c r="AD4" t="s">
        <v>10</v>
      </c>
      <c r="AE4" t="s">
        <v>11</v>
      </c>
      <c r="AF4" t="s">
        <v>12</v>
      </c>
      <c r="AG4">
        <v>6040</v>
      </c>
    </row>
    <row r="5" spans="2:36" x14ac:dyDescent="0.35">
      <c r="B5" t="s">
        <v>13</v>
      </c>
      <c r="C5" t="s">
        <v>14</v>
      </c>
      <c r="D5" t="s">
        <v>19</v>
      </c>
      <c r="E5">
        <v>32</v>
      </c>
      <c r="F5">
        <v>40</v>
      </c>
      <c r="G5">
        <v>52</v>
      </c>
      <c r="H5">
        <v>50</v>
      </c>
      <c r="I5">
        <v>37</v>
      </c>
      <c r="J5">
        <v>56</v>
      </c>
      <c r="K5">
        <v>37</v>
      </c>
      <c r="L5">
        <v>42</v>
      </c>
      <c r="M5">
        <v>48</v>
      </c>
      <c r="N5">
        <v>44</v>
      </c>
      <c r="O5">
        <v>44</v>
      </c>
      <c r="P5">
        <v>32</v>
      </c>
      <c r="S5" t="s">
        <v>13</v>
      </c>
      <c r="T5" t="s">
        <v>14</v>
      </c>
      <c r="U5" t="s">
        <v>19</v>
      </c>
      <c r="V5">
        <v>32</v>
      </c>
      <c r="W5">
        <v>40</v>
      </c>
      <c r="X5">
        <v>52</v>
      </c>
      <c r="Y5">
        <v>50</v>
      </c>
      <c r="Z5">
        <v>37</v>
      </c>
      <c r="AA5">
        <v>56</v>
      </c>
      <c r="AB5">
        <v>37</v>
      </c>
      <c r="AC5">
        <v>42</v>
      </c>
      <c r="AD5">
        <v>48</v>
      </c>
      <c r="AE5">
        <v>44</v>
      </c>
      <c r="AF5">
        <v>44</v>
      </c>
      <c r="AG5">
        <v>32</v>
      </c>
      <c r="AI5" t="s">
        <v>19</v>
      </c>
      <c r="AJ5">
        <f>ABS(INT(RIGHT(AI5, 2)))</f>
        <v>0</v>
      </c>
    </row>
    <row r="6" spans="2:36" x14ac:dyDescent="0.35">
      <c r="B6" t="s">
        <v>13</v>
      </c>
      <c r="C6" t="s">
        <v>15</v>
      </c>
      <c r="D6" t="s">
        <v>19</v>
      </c>
      <c r="E6">
        <v>68</v>
      </c>
      <c r="F6">
        <v>60</v>
      </c>
      <c r="G6">
        <v>48</v>
      </c>
      <c r="H6">
        <v>50</v>
      </c>
      <c r="I6">
        <v>63</v>
      </c>
      <c r="J6">
        <v>44</v>
      </c>
      <c r="K6">
        <v>63</v>
      </c>
      <c r="L6">
        <v>58</v>
      </c>
      <c r="M6">
        <v>52</v>
      </c>
      <c r="N6">
        <v>56</v>
      </c>
      <c r="O6">
        <v>56</v>
      </c>
      <c r="P6">
        <v>68</v>
      </c>
      <c r="S6" t="s">
        <v>13</v>
      </c>
      <c r="T6" t="s">
        <v>15</v>
      </c>
      <c r="U6" t="s">
        <v>19</v>
      </c>
      <c r="V6">
        <v>68</v>
      </c>
      <c r="W6">
        <v>60</v>
      </c>
      <c r="X6">
        <v>48</v>
      </c>
      <c r="Y6">
        <v>50</v>
      </c>
      <c r="Z6">
        <v>63</v>
      </c>
      <c r="AA6">
        <v>44</v>
      </c>
      <c r="AB6">
        <v>63</v>
      </c>
      <c r="AC6">
        <v>58</v>
      </c>
      <c r="AD6">
        <v>52</v>
      </c>
      <c r="AE6">
        <v>56</v>
      </c>
      <c r="AF6">
        <v>56</v>
      </c>
      <c r="AG6">
        <v>68</v>
      </c>
      <c r="AI6" t="s">
        <v>19</v>
      </c>
      <c r="AJ6">
        <f t="shared" ref="AJ6:AJ69" si="0">ABS(INT(RIGHT(AI6, 2)))</f>
        <v>0</v>
      </c>
    </row>
    <row r="7" spans="2:36" x14ac:dyDescent="0.35">
      <c r="B7" t="s">
        <v>16</v>
      </c>
      <c r="C7" t="s">
        <v>14</v>
      </c>
      <c r="D7" t="s">
        <v>19</v>
      </c>
      <c r="E7">
        <v>33</v>
      </c>
      <c r="F7">
        <v>40</v>
      </c>
      <c r="G7">
        <v>52</v>
      </c>
      <c r="H7">
        <v>51</v>
      </c>
      <c r="I7">
        <v>37</v>
      </c>
      <c r="J7">
        <v>56</v>
      </c>
      <c r="K7">
        <v>38</v>
      </c>
      <c r="L7">
        <v>42</v>
      </c>
      <c r="M7">
        <v>48</v>
      </c>
      <c r="N7">
        <v>44</v>
      </c>
      <c r="O7">
        <v>44</v>
      </c>
      <c r="P7">
        <v>33</v>
      </c>
      <c r="S7" t="s">
        <v>16</v>
      </c>
      <c r="T7" t="s">
        <v>14</v>
      </c>
      <c r="U7" t="s">
        <v>19</v>
      </c>
      <c r="V7">
        <v>33</v>
      </c>
      <c r="W7">
        <v>40</v>
      </c>
      <c r="X7">
        <v>52</v>
      </c>
      <c r="Y7">
        <v>51</v>
      </c>
      <c r="Z7">
        <v>37</v>
      </c>
      <c r="AA7">
        <v>56</v>
      </c>
      <c r="AB7">
        <v>38</v>
      </c>
      <c r="AC7">
        <v>42</v>
      </c>
      <c r="AD7">
        <v>48</v>
      </c>
      <c r="AE7">
        <v>44</v>
      </c>
      <c r="AF7">
        <v>44</v>
      </c>
      <c r="AG7">
        <v>33</v>
      </c>
      <c r="AI7" t="s">
        <v>19</v>
      </c>
      <c r="AJ7">
        <f t="shared" si="0"/>
        <v>0</v>
      </c>
    </row>
    <row r="8" spans="2:36" x14ac:dyDescent="0.35">
      <c r="B8" t="s">
        <v>16</v>
      </c>
      <c r="C8" t="s">
        <v>15</v>
      </c>
      <c r="D8" t="s">
        <v>19</v>
      </c>
      <c r="E8">
        <v>67</v>
      </c>
      <c r="F8">
        <v>60</v>
      </c>
      <c r="G8">
        <v>48</v>
      </c>
      <c r="H8">
        <v>49</v>
      </c>
      <c r="I8">
        <v>63</v>
      </c>
      <c r="J8">
        <v>44</v>
      </c>
      <c r="K8">
        <v>62</v>
      </c>
      <c r="L8">
        <v>58</v>
      </c>
      <c r="M8">
        <v>52</v>
      </c>
      <c r="N8">
        <v>56</v>
      </c>
      <c r="O8">
        <v>56</v>
      </c>
      <c r="P8">
        <v>67</v>
      </c>
      <c r="S8" t="s">
        <v>16</v>
      </c>
      <c r="T8" t="s">
        <v>15</v>
      </c>
      <c r="U8" t="s">
        <v>19</v>
      </c>
      <c r="V8">
        <v>67</v>
      </c>
      <c r="W8">
        <v>60</v>
      </c>
      <c r="X8">
        <v>48</v>
      </c>
      <c r="Y8">
        <v>49</v>
      </c>
      <c r="Z8">
        <v>63</v>
      </c>
      <c r="AA8">
        <v>44</v>
      </c>
      <c r="AB8">
        <v>62</v>
      </c>
      <c r="AC8">
        <v>58</v>
      </c>
      <c r="AD8">
        <v>52</v>
      </c>
      <c r="AE8">
        <v>56</v>
      </c>
      <c r="AF8">
        <v>56</v>
      </c>
      <c r="AG8">
        <v>67</v>
      </c>
      <c r="AI8" t="s">
        <v>19</v>
      </c>
      <c r="AJ8">
        <f t="shared" si="0"/>
        <v>0</v>
      </c>
    </row>
    <row r="9" spans="2:36" x14ac:dyDescent="0.35">
      <c r="B9" t="s">
        <v>17</v>
      </c>
      <c r="C9" t="s">
        <v>14</v>
      </c>
      <c r="D9" t="s">
        <v>19</v>
      </c>
      <c r="E9">
        <v>34</v>
      </c>
      <c r="F9">
        <v>42</v>
      </c>
      <c r="G9">
        <v>52</v>
      </c>
      <c r="H9">
        <v>55</v>
      </c>
      <c r="I9">
        <v>38</v>
      </c>
      <c r="J9">
        <v>58</v>
      </c>
      <c r="K9">
        <v>28</v>
      </c>
      <c r="L9">
        <v>38</v>
      </c>
      <c r="M9">
        <v>56</v>
      </c>
      <c r="N9">
        <v>48</v>
      </c>
      <c r="O9">
        <v>46</v>
      </c>
      <c r="P9">
        <v>34</v>
      </c>
      <c r="S9" t="s">
        <v>17</v>
      </c>
      <c r="T9" t="s">
        <v>14</v>
      </c>
      <c r="U9" t="s">
        <v>19</v>
      </c>
      <c r="V9">
        <v>34</v>
      </c>
      <c r="W9">
        <v>42</v>
      </c>
      <c r="X9">
        <v>52</v>
      </c>
      <c r="Y9">
        <v>55</v>
      </c>
      <c r="Z9">
        <v>38</v>
      </c>
      <c r="AA9">
        <v>58</v>
      </c>
      <c r="AB9">
        <v>28</v>
      </c>
      <c r="AC9">
        <v>38</v>
      </c>
      <c r="AD9">
        <v>56</v>
      </c>
      <c r="AE9">
        <v>48</v>
      </c>
      <c r="AF9">
        <v>46</v>
      </c>
      <c r="AG9">
        <v>34</v>
      </c>
      <c r="AI9" t="s">
        <v>19</v>
      </c>
      <c r="AJ9">
        <f t="shared" si="0"/>
        <v>0</v>
      </c>
    </row>
    <row r="10" spans="2:36" x14ac:dyDescent="0.35">
      <c r="B10" t="s">
        <v>17</v>
      </c>
      <c r="C10" t="s">
        <v>15</v>
      </c>
      <c r="D10" t="s">
        <v>19</v>
      </c>
      <c r="E10">
        <v>66</v>
      </c>
      <c r="F10">
        <v>58</v>
      </c>
      <c r="G10">
        <v>48</v>
      </c>
      <c r="H10">
        <v>45</v>
      </c>
      <c r="I10">
        <v>62</v>
      </c>
      <c r="J10">
        <v>42</v>
      </c>
      <c r="K10">
        <v>72</v>
      </c>
      <c r="L10">
        <v>62</v>
      </c>
      <c r="M10">
        <v>44</v>
      </c>
      <c r="N10">
        <v>52</v>
      </c>
      <c r="O10">
        <v>54</v>
      </c>
      <c r="P10">
        <v>66</v>
      </c>
      <c r="S10" t="s">
        <v>17</v>
      </c>
      <c r="T10" t="s">
        <v>15</v>
      </c>
      <c r="U10" t="s">
        <v>19</v>
      </c>
      <c r="V10">
        <v>66</v>
      </c>
      <c r="W10">
        <v>58</v>
      </c>
      <c r="X10">
        <v>48</v>
      </c>
      <c r="Y10">
        <v>45</v>
      </c>
      <c r="Z10">
        <v>62</v>
      </c>
      <c r="AA10">
        <v>42</v>
      </c>
      <c r="AB10">
        <v>72</v>
      </c>
      <c r="AC10">
        <v>62</v>
      </c>
      <c r="AD10">
        <v>44</v>
      </c>
      <c r="AE10">
        <v>52</v>
      </c>
      <c r="AF10">
        <v>54</v>
      </c>
      <c r="AG10">
        <v>66</v>
      </c>
      <c r="AI10" t="s">
        <v>19</v>
      </c>
      <c r="AJ10">
        <f t="shared" si="0"/>
        <v>0</v>
      </c>
    </row>
    <row r="11" spans="2:36" x14ac:dyDescent="0.35">
      <c r="B11" t="s">
        <v>13</v>
      </c>
      <c r="C11" t="s">
        <v>14</v>
      </c>
      <c r="D11" t="s">
        <v>35</v>
      </c>
      <c r="E11">
        <v>33</v>
      </c>
      <c r="F11">
        <v>41</v>
      </c>
      <c r="G11">
        <v>52</v>
      </c>
      <c r="H11">
        <v>50</v>
      </c>
      <c r="I11">
        <v>37</v>
      </c>
      <c r="J11">
        <v>56</v>
      </c>
      <c r="K11">
        <v>37</v>
      </c>
      <c r="L11">
        <v>42</v>
      </c>
      <c r="M11">
        <v>48</v>
      </c>
      <c r="N11">
        <v>45</v>
      </c>
      <c r="O11">
        <v>44</v>
      </c>
      <c r="P11">
        <v>33</v>
      </c>
      <c r="S11" t="s">
        <v>59</v>
      </c>
      <c r="T11" t="s">
        <v>14</v>
      </c>
      <c r="U11" t="s">
        <v>19</v>
      </c>
      <c r="V11">
        <v>34</v>
      </c>
      <c r="W11">
        <v>40</v>
      </c>
      <c r="X11">
        <v>55</v>
      </c>
      <c r="Y11">
        <v>49</v>
      </c>
      <c r="Z11">
        <v>45</v>
      </c>
      <c r="AA11">
        <v>55</v>
      </c>
      <c r="AB11">
        <v>40</v>
      </c>
      <c r="AC11">
        <v>38</v>
      </c>
      <c r="AD11">
        <v>55</v>
      </c>
      <c r="AE11">
        <v>45</v>
      </c>
      <c r="AF11">
        <v>47</v>
      </c>
      <c r="AG11">
        <v>32</v>
      </c>
      <c r="AI11" t="s">
        <v>19</v>
      </c>
      <c r="AJ11">
        <f t="shared" si="0"/>
        <v>0</v>
      </c>
    </row>
    <row r="12" spans="2:36" x14ac:dyDescent="0.35">
      <c r="B12" t="s">
        <v>13</v>
      </c>
      <c r="C12" t="s">
        <v>15</v>
      </c>
      <c r="D12" t="s">
        <v>35</v>
      </c>
      <c r="E12">
        <v>67</v>
      </c>
      <c r="F12">
        <v>59</v>
      </c>
      <c r="G12">
        <v>48</v>
      </c>
      <c r="H12">
        <v>50</v>
      </c>
      <c r="I12">
        <v>63</v>
      </c>
      <c r="J12">
        <v>44</v>
      </c>
      <c r="K12">
        <v>63</v>
      </c>
      <c r="L12">
        <v>58</v>
      </c>
      <c r="M12">
        <v>52</v>
      </c>
      <c r="N12">
        <v>55</v>
      </c>
      <c r="O12">
        <v>56</v>
      </c>
      <c r="P12">
        <v>67</v>
      </c>
      <c r="S12" t="s">
        <v>59</v>
      </c>
      <c r="T12" t="s">
        <v>15</v>
      </c>
      <c r="U12" t="s">
        <v>19</v>
      </c>
      <c r="V12">
        <v>66</v>
      </c>
      <c r="W12">
        <v>60</v>
      </c>
      <c r="X12">
        <v>45</v>
      </c>
      <c r="Y12">
        <v>51</v>
      </c>
      <c r="Z12">
        <v>55</v>
      </c>
      <c r="AA12">
        <v>45</v>
      </c>
      <c r="AB12">
        <v>60</v>
      </c>
      <c r="AC12">
        <v>62</v>
      </c>
      <c r="AD12">
        <v>45</v>
      </c>
      <c r="AE12">
        <v>55</v>
      </c>
      <c r="AF12">
        <v>53</v>
      </c>
      <c r="AG12">
        <v>68</v>
      </c>
      <c r="AI12" t="s">
        <v>19</v>
      </c>
      <c r="AJ12">
        <f t="shared" si="0"/>
        <v>0</v>
      </c>
    </row>
    <row r="13" spans="2:36" x14ac:dyDescent="0.35">
      <c r="B13" t="s">
        <v>16</v>
      </c>
      <c r="C13" t="s">
        <v>14</v>
      </c>
      <c r="D13" t="s">
        <v>35</v>
      </c>
      <c r="E13">
        <v>33</v>
      </c>
      <c r="F13">
        <v>40</v>
      </c>
      <c r="G13">
        <v>51</v>
      </c>
      <c r="H13">
        <v>50</v>
      </c>
      <c r="I13">
        <v>37</v>
      </c>
      <c r="J13">
        <v>56</v>
      </c>
      <c r="K13">
        <v>37</v>
      </c>
      <c r="L13">
        <v>42</v>
      </c>
      <c r="M13">
        <v>48</v>
      </c>
      <c r="N13">
        <v>44</v>
      </c>
      <c r="O13">
        <v>44</v>
      </c>
      <c r="P13">
        <v>33</v>
      </c>
      <c r="S13" t="s">
        <v>13</v>
      </c>
      <c r="T13" t="s">
        <v>14</v>
      </c>
      <c r="U13" t="s">
        <v>20</v>
      </c>
      <c r="V13">
        <v>33</v>
      </c>
      <c r="W13">
        <v>41</v>
      </c>
      <c r="X13">
        <v>52</v>
      </c>
      <c r="Y13">
        <v>50</v>
      </c>
      <c r="Z13">
        <v>37</v>
      </c>
      <c r="AA13">
        <v>56</v>
      </c>
      <c r="AB13">
        <v>37</v>
      </c>
      <c r="AC13">
        <v>42</v>
      </c>
      <c r="AD13">
        <v>48</v>
      </c>
      <c r="AE13">
        <v>45</v>
      </c>
      <c r="AF13">
        <v>44</v>
      </c>
      <c r="AG13">
        <v>33</v>
      </c>
      <c r="AI13" t="s">
        <v>20</v>
      </c>
      <c r="AJ13">
        <f t="shared" si="0"/>
        <v>1</v>
      </c>
    </row>
    <row r="14" spans="2:36" x14ac:dyDescent="0.35">
      <c r="B14" t="s">
        <v>16</v>
      </c>
      <c r="C14" t="s">
        <v>15</v>
      </c>
      <c r="D14" t="s">
        <v>35</v>
      </c>
      <c r="E14">
        <v>67</v>
      </c>
      <c r="F14">
        <v>60</v>
      </c>
      <c r="G14">
        <v>49</v>
      </c>
      <c r="H14">
        <v>50</v>
      </c>
      <c r="I14">
        <v>63</v>
      </c>
      <c r="J14">
        <v>44</v>
      </c>
      <c r="K14">
        <v>63</v>
      </c>
      <c r="L14">
        <v>58</v>
      </c>
      <c r="M14">
        <v>52</v>
      </c>
      <c r="N14">
        <v>56</v>
      </c>
      <c r="O14">
        <v>56</v>
      </c>
      <c r="P14">
        <v>67</v>
      </c>
      <c r="S14" t="s">
        <v>13</v>
      </c>
      <c r="T14" t="s">
        <v>15</v>
      </c>
      <c r="U14" t="s">
        <v>20</v>
      </c>
      <c r="V14">
        <v>67</v>
      </c>
      <c r="W14">
        <v>59</v>
      </c>
      <c r="X14">
        <v>48</v>
      </c>
      <c r="Y14">
        <v>50</v>
      </c>
      <c r="Z14">
        <v>63</v>
      </c>
      <c r="AA14">
        <v>44</v>
      </c>
      <c r="AB14">
        <v>63</v>
      </c>
      <c r="AC14">
        <v>58</v>
      </c>
      <c r="AD14">
        <v>52</v>
      </c>
      <c r="AE14">
        <v>55</v>
      </c>
      <c r="AF14">
        <v>56</v>
      </c>
      <c r="AG14">
        <v>67</v>
      </c>
      <c r="AI14" t="s">
        <v>20</v>
      </c>
      <c r="AJ14">
        <f t="shared" si="0"/>
        <v>1</v>
      </c>
    </row>
    <row r="15" spans="2:36" x14ac:dyDescent="0.35">
      <c r="B15" t="s">
        <v>17</v>
      </c>
      <c r="C15" t="s">
        <v>14</v>
      </c>
      <c r="D15" t="s">
        <v>35</v>
      </c>
      <c r="E15">
        <v>42</v>
      </c>
      <c r="F15">
        <v>41</v>
      </c>
      <c r="G15">
        <v>54</v>
      </c>
      <c r="H15">
        <v>56</v>
      </c>
      <c r="I15">
        <v>44</v>
      </c>
      <c r="J15">
        <v>54</v>
      </c>
      <c r="K15">
        <v>27</v>
      </c>
      <c r="L15">
        <v>39</v>
      </c>
      <c r="M15">
        <v>49</v>
      </c>
      <c r="N15">
        <v>45</v>
      </c>
      <c r="O15">
        <v>52</v>
      </c>
      <c r="P15">
        <v>42</v>
      </c>
      <c r="S15" t="s">
        <v>16</v>
      </c>
      <c r="T15" t="s">
        <v>14</v>
      </c>
      <c r="U15" t="s">
        <v>20</v>
      </c>
      <c r="V15">
        <v>33</v>
      </c>
      <c r="W15">
        <v>40</v>
      </c>
      <c r="X15">
        <v>51</v>
      </c>
      <c r="Y15">
        <v>50</v>
      </c>
      <c r="Z15">
        <v>37</v>
      </c>
      <c r="AA15">
        <v>56</v>
      </c>
      <c r="AB15">
        <v>37</v>
      </c>
      <c r="AC15">
        <v>42</v>
      </c>
      <c r="AD15">
        <v>48</v>
      </c>
      <c r="AE15">
        <v>44</v>
      </c>
      <c r="AF15">
        <v>44</v>
      </c>
      <c r="AG15">
        <v>33</v>
      </c>
      <c r="AI15" t="s">
        <v>20</v>
      </c>
      <c r="AJ15">
        <f t="shared" si="0"/>
        <v>1</v>
      </c>
    </row>
    <row r="16" spans="2:36" x14ac:dyDescent="0.35">
      <c r="B16" t="s">
        <v>17</v>
      </c>
      <c r="C16" t="s">
        <v>15</v>
      </c>
      <c r="D16" t="s">
        <v>35</v>
      </c>
      <c r="E16">
        <v>58</v>
      </c>
      <c r="F16">
        <v>59</v>
      </c>
      <c r="G16">
        <v>46</v>
      </c>
      <c r="H16">
        <v>44</v>
      </c>
      <c r="I16">
        <v>56</v>
      </c>
      <c r="J16">
        <v>46</v>
      </c>
      <c r="K16">
        <v>73</v>
      </c>
      <c r="L16">
        <v>61</v>
      </c>
      <c r="M16">
        <v>51</v>
      </c>
      <c r="N16">
        <v>55</v>
      </c>
      <c r="O16">
        <v>48</v>
      </c>
      <c r="P16">
        <v>58</v>
      </c>
      <c r="S16" t="s">
        <v>16</v>
      </c>
      <c r="T16" t="s">
        <v>15</v>
      </c>
      <c r="U16" t="s">
        <v>20</v>
      </c>
      <c r="V16">
        <v>67</v>
      </c>
      <c r="W16">
        <v>60</v>
      </c>
      <c r="X16">
        <v>49</v>
      </c>
      <c r="Y16">
        <v>50</v>
      </c>
      <c r="Z16">
        <v>63</v>
      </c>
      <c r="AA16">
        <v>44</v>
      </c>
      <c r="AB16">
        <v>63</v>
      </c>
      <c r="AC16">
        <v>58</v>
      </c>
      <c r="AD16">
        <v>52</v>
      </c>
      <c r="AE16">
        <v>56</v>
      </c>
      <c r="AF16">
        <v>56</v>
      </c>
      <c r="AG16">
        <v>67</v>
      </c>
      <c r="AI16" t="s">
        <v>20</v>
      </c>
      <c r="AJ16">
        <f t="shared" si="0"/>
        <v>1</v>
      </c>
    </row>
    <row r="17" spans="2:36" x14ac:dyDescent="0.35">
      <c r="B17" t="s">
        <v>13</v>
      </c>
      <c r="C17" t="s">
        <v>14</v>
      </c>
      <c r="D17" t="s">
        <v>36</v>
      </c>
      <c r="E17">
        <v>34</v>
      </c>
      <c r="F17">
        <v>41</v>
      </c>
      <c r="G17">
        <v>52</v>
      </c>
      <c r="H17">
        <v>51</v>
      </c>
      <c r="I17">
        <v>38</v>
      </c>
      <c r="J17">
        <v>57</v>
      </c>
      <c r="K17">
        <v>37</v>
      </c>
      <c r="L17">
        <v>43</v>
      </c>
      <c r="M17">
        <v>48</v>
      </c>
      <c r="N17">
        <v>46</v>
      </c>
      <c r="O17">
        <v>45</v>
      </c>
      <c r="P17">
        <v>34</v>
      </c>
      <c r="S17" t="s">
        <v>17</v>
      </c>
      <c r="T17" t="s">
        <v>14</v>
      </c>
      <c r="U17" t="s">
        <v>20</v>
      </c>
      <c r="V17">
        <v>42</v>
      </c>
      <c r="W17">
        <v>41</v>
      </c>
      <c r="X17">
        <v>54</v>
      </c>
      <c r="Y17">
        <v>56</v>
      </c>
      <c r="Z17">
        <v>44</v>
      </c>
      <c r="AA17">
        <v>54</v>
      </c>
      <c r="AB17">
        <v>27</v>
      </c>
      <c r="AC17">
        <v>39</v>
      </c>
      <c r="AD17">
        <v>49</v>
      </c>
      <c r="AE17">
        <v>45</v>
      </c>
      <c r="AF17">
        <v>52</v>
      </c>
      <c r="AG17">
        <v>42</v>
      </c>
      <c r="AI17" t="s">
        <v>20</v>
      </c>
      <c r="AJ17">
        <f t="shared" si="0"/>
        <v>1</v>
      </c>
    </row>
    <row r="18" spans="2:36" x14ac:dyDescent="0.35">
      <c r="B18" t="s">
        <v>13</v>
      </c>
      <c r="C18" t="s">
        <v>15</v>
      </c>
      <c r="D18" t="s">
        <v>36</v>
      </c>
      <c r="E18">
        <v>66</v>
      </c>
      <c r="F18">
        <v>59</v>
      </c>
      <c r="G18">
        <v>48</v>
      </c>
      <c r="H18">
        <v>49</v>
      </c>
      <c r="I18">
        <v>62</v>
      </c>
      <c r="J18">
        <v>43</v>
      </c>
      <c r="K18">
        <v>63</v>
      </c>
      <c r="L18">
        <v>57</v>
      </c>
      <c r="M18">
        <v>52</v>
      </c>
      <c r="N18">
        <v>54</v>
      </c>
      <c r="O18">
        <v>55</v>
      </c>
      <c r="P18">
        <v>66</v>
      </c>
      <c r="S18" t="s">
        <v>17</v>
      </c>
      <c r="T18" t="s">
        <v>15</v>
      </c>
      <c r="U18" t="s">
        <v>20</v>
      </c>
      <c r="V18">
        <v>58</v>
      </c>
      <c r="W18">
        <v>59</v>
      </c>
      <c r="X18">
        <v>46</v>
      </c>
      <c r="Y18">
        <v>44</v>
      </c>
      <c r="Z18">
        <v>56</v>
      </c>
      <c r="AA18">
        <v>46</v>
      </c>
      <c r="AB18">
        <v>73</v>
      </c>
      <c r="AC18">
        <v>61</v>
      </c>
      <c r="AD18">
        <v>51</v>
      </c>
      <c r="AE18">
        <v>55</v>
      </c>
      <c r="AF18">
        <v>48</v>
      </c>
      <c r="AG18">
        <v>58</v>
      </c>
      <c r="AI18" t="s">
        <v>20</v>
      </c>
      <c r="AJ18">
        <f t="shared" si="0"/>
        <v>1</v>
      </c>
    </row>
    <row r="19" spans="2:36" x14ac:dyDescent="0.35">
      <c r="B19" t="s">
        <v>16</v>
      </c>
      <c r="C19" t="s">
        <v>14</v>
      </c>
      <c r="D19" t="s">
        <v>36</v>
      </c>
      <c r="E19">
        <v>33</v>
      </c>
      <c r="F19">
        <v>41</v>
      </c>
      <c r="G19">
        <v>51</v>
      </c>
      <c r="H19">
        <v>51</v>
      </c>
      <c r="I19">
        <v>38</v>
      </c>
      <c r="J19">
        <v>56</v>
      </c>
      <c r="K19">
        <v>37</v>
      </c>
      <c r="L19">
        <v>42</v>
      </c>
      <c r="M19">
        <v>48</v>
      </c>
      <c r="N19">
        <v>45</v>
      </c>
      <c r="O19">
        <v>44</v>
      </c>
      <c r="P19">
        <v>33</v>
      </c>
      <c r="S19" t="s">
        <v>59</v>
      </c>
      <c r="T19" t="s">
        <v>14</v>
      </c>
      <c r="U19" t="s">
        <v>20</v>
      </c>
      <c r="V19">
        <v>43</v>
      </c>
      <c r="W19">
        <v>45</v>
      </c>
      <c r="X19">
        <v>53</v>
      </c>
      <c r="Y19">
        <v>55</v>
      </c>
      <c r="Z19">
        <v>36</v>
      </c>
      <c r="AA19">
        <v>57</v>
      </c>
      <c r="AB19">
        <v>43</v>
      </c>
      <c r="AC19">
        <v>32</v>
      </c>
      <c r="AD19">
        <v>51</v>
      </c>
      <c r="AE19">
        <v>45</v>
      </c>
      <c r="AF19">
        <v>49</v>
      </c>
      <c r="AG19">
        <v>43</v>
      </c>
      <c r="AI19" t="s">
        <v>20</v>
      </c>
      <c r="AJ19">
        <f t="shared" si="0"/>
        <v>1</v>
      </c>
    </row>
    <row r="20" spans="2:36" x14ac:dyDescent="0.35">
      <c r="B20" t="s">
        <v>16</v>
      </c>
      <c r="C20" t="s">
        <v>15</v>
      </c>
      <c r="D20" t="s">
        <v>36</v>
      </c>
      <c r="E20">
        <v>67</v>
      </c>
      <c r="F20">
        <v>59</v>
      </c>
      <c r="G20">
        <v>49</v>
      </c>
      <c r="H20">
        <v>49</v>
      </c>
      <c r="I20">
        <v>62</v>
      </c>
      <c r="J20">
        <v>44</v>
      </c>
      <c r="K20">
        <v>63</v>
      </c>
      <c r="L20">
        <v>58</v>
      </c>
      <c r="M20">
        <v>52</v>
      </c>
      <c r="N20">
        <v>55</v>
      </c>
      <c r="O20">
        <v>56</v>
      </c>
      <c r="P20">
        <v>67</v>
      </c>
      <c r="S20" t="s">
        <v>59</v>
      </c>
      <c r="T20" t="s">
        <v>15</v>
      </c>
      <c r="U20" t="s">
        <v>20</v>
      </c>
      <c r="V20">
        <v>57</v>
      </c>
      <c r="W20">
        <v>55</v>
      </c>
      <c r="X20">
        <v>47</v>
      </c>
      <c r="Y20">
        <v>45</v>
      </c>
      <c r="Z20">
        <v>64</v>
      </c>
      <c r="AA20">
        <v>43</v>
      </c>
      <c r="AB20">
        <v>57</v>
      </c>
      <c r="AC20">
        <v>68</v>
      </c>
      <c r="AD20">
        <v>49</v>
      </c>
      <c r="AE20">
        <v>55</v>
      </c>
      <c r="AF20">
        <v>51</v>
      </c>
      <c r="AG20">
        <v>57</v>
      </c>
      <c r="AI20" t="s">
        <v>20</v>
      </c>
      <c r="AJ20">
        <f t="shared" si="0"/>
        <v>1</v>
      </c>
    </row>
    <row r="21" spans="2:36" x14ac:dyDescent="0.35">
      <c r="B21" t="s">
        <v>17</v>
      </c>
      <c r="C21" t="s">
        <v>14</v>
      </c>
      <c r="D21" t="s">
        <v>36</v>
      </c>
      <c r="E21">
        <v>42</v>
      </c>
      <c r="F21">
        <v>44</v>
      </c>
      <c r="G21">
        <v>49</v>
      </c>
      <c r="H21">
        <v>56</v>
      </c>
      <c r="I21">
        <v>44</v>
      </c>
      <c r="J21">
        <v>59</v>
      </c>
      <c r="K21">
        <v>30</v>
      </c>
      <c r="L21">
        <v>44</v>
      </c>
      <c r="M21">
        <v>48</v>
      </c>
      <c r="N21">
        <v>48</v>
      </c>
      <c r="O21">
        <v>52</v>
      </c>
      <c r="P21">
        <v>42</v>
      </c>
      <c r="S21" t="s">
        <v>13</v>
      </c>
      <c r="T21" t="s">
        <v>14</v>
      </c>
      <c r="U21" t="s">
        <v>21</v>
      </c>
      <c r="V21">
        <v>34</v>
      </c>
      <c r="W21">
        <v>41</v>
      </c>
      <c r="X21">
        <v>52</v>
      </c>
      <c r="Y21">
        <v>51</v>
      </c>
      <c r="Z21">
        <v>38</v>
      </c>
      <c r="AA21">
        <v>57</v>
      </c>
      <c r="AB21">
        <v>37</v>
      </c>
      <c r="AC21">
        <v>43</v>
      </c>
      <c r="AD21">
        <v>48</v>
      </c>
      <c r="AE21">
        <v>46</v>
      </c>
      <c r="AF21">
        <v>45</v>
      </c>
      <c r="AG21">
        <v>34</v>
      </c>
      <c r="AI21" t="s">
        <v>21</v>
      </c>
      <c r="AJ21">
        <f t="shared" si="0"/>
        <v>2</v>
      </c>
    </row>
    <row r="22" spans="2:36" x14ac:dyDescent="0.35">
      <c r="B22" t="s">
        <v>17</v>
      </c>
      <c r="C22" t="s">
        <v>15</v>
      </c>
      <c r="D22" t="s">
        <v>36</v>
      </c>
      <c r="E22">
        <v>58</v>
      </c>
      <c r="F22">
        <v>56</v>
      </c>
      <c r="G22">
        <v>51</v>
      </c>
      <c r="H22">
        <v>44</v>
      </c>
      <c r="I22">
        <v>56</v>
      </c>
      <c r="J22">
        <v>41</v>
      </c>
      <c r="K22">
        <v>70</v>
      </c>
      <c r="L22">
        <v>56</v>
      </c>
      <c r="M22">
        <v>52</v>
      </c>
      <c r="N22">
        <v>52</v>
      </c>
      <c r="O22">
        <v>48</v>
      </c>
      <c r="P22">
        <v>58</v>
      </c>
      <c r="S22" t="s">
        <v>13</v>
      </c>
      <c r="T22" t="s">
        <v>15</v>
      </c>
      <c r="U22" t="s">
        <v>21</v>
      </c>
      <c r="V22">
        <v>66</v>
      </c>
      <c r="W22">
        <v>59</v>
      </c>
      <c r="X22">
        <v>48</v>
      </c>
      <c r="Y22">
        <v>49</v>
      </c>
      <c r="Z22">
        <v>62</v>
      </c>
      <c r="AA22">
        <v>43</v>
      </c>
      <c r="AB22">
        <v>63</v>
      </c>
      <c r="AC22">
        <v>57</v>
      </c>
      <c r="AD22">
        <v>52</v>
      </c>
      <c r="AE22">
        <v>54</v>
      </c>
      <c r="AF22">
        <v>55</v>
      </c>
      <c r="AG22">
        <v>66</v>
      </c>
      <c r="AI22" t="s">
        <v>21</v>
      </c>
      <c r="AJ22">
        <f t="shared" si="0"/>
        <v>2</v>
      </c>
    </row>
    <row r="23" spans="2:36" x14ac:dyDescent="0.35">
      <c r="B23" t="s">
        <v>13</v>
      </c>
      <c r="C23" t="s">
        <v>14</v>
      </c>
      <c r="D23" t="s">
        <v>37</v>
      </c>
      <c r="E23">
        <v>34</v>
      </c>
      <c r="F23">
        <v>42</v>
      </c>
      <c r="G23">
        <v>52</v>
      </c>
      <c r="H23">
        <v>51</v>
      </c>
      <c r="I23">
        <v>39</v>
      </c>
      <c r="J23">
        <v>57</v>
      </c>
      <c r="K23">
        <v>38</v>
      </c>
      <c r="L23">
        <v>43</v>
      </c>
      <c r="M23">
        <v>48</v>
      </c>
      <c r="N23">
        <v>46</v>
      </c>
      <c r="O23">
        <v>46</v>
      </c>
      <c r="P23">
        <v>34</v>
      </c>
      <c r="S23" t="s">
        <v>16</v>
      </c>
      <c r="T23" t="s">
        <v>14</v>
      </c>
      <c r="U23" t="s">
        <v>21</v>
      </c>
      <c r="V23">
        <v>33</v>
      </c>
      <c r="W23">
        <v>41</v>
      </c>
      <c r="X23">
        <v>51</v>
      </c>
      <c r="Y23">
        <v>51</v>
      </c>
      <c r="Z23">
        <v>38</v>
      </c>
      <c r="AA23">
        <v>56</v>
      </c>
      <c r="AB23">
        <v>37</v>
      </c>
      <c r="AC23">
        <v>42</v>
      </c>
      <c r="AD23">
        <v>48</v>
      </c>
      <c r="AE23">
        <v>45</v>
      </c>
      <c r="AF23">
        <v>44</v>
      </c>
      <c r="AG23">
        <v>33</v>
      </c>
      <c r="AI23" t="s">
        <v>21</v>
      </c>
      <c r="AJ23">
        <f t="shared" si="0"/>
        <v>2</v>
      </c>
    </row>
    <row r="24" spans="2:36" x14ac:dyDescent="0.35">
      <c r="B24" t="s">
        <v>13</v>
      </c>
      <c r="C24" t="s">
        <v>15</v>
      </c>
      <c r="D24" t="s">
        <v>37</v>
      </c>
      <c r="E24">
        <v>66</v>
      </c>
      <c r="F24">
        <v>58</v>
      </c>
      <c r="G24">
        <v>48</v>
      </c>
      <c r="H24">
        <v>49</v>
      </c>
      <c r="I24">
        <v>61</v>
      </c>
      <c r="J24">
        <v>43</v>
      </c>
      <c r="K24">
        <v>62</v>
      </c>
      <c r="L24">
        <v>57</v>
      </c>
      <c r="M24">
        <v>52</v>
      </c>
      <c r="N24">
        <v>54</v>
      </c>
      <c r="O24">
        <v>54</v>
      </c>
      <c r="P24">
        <v>66</v>
      </c>
      <c r="S24" t="s">
        <v>16</v>
      </c>
      <c r="T24" t="s">
        <v>15</v>
      </c>
      <c r="U24" t="s">
        <v>21</v>
      </c>
      <c r="V24">
        <v>67</v>
      </c>
      <c r="W24">
        <v>59</v>
      </c>
      <c r="X24">
        <v>49</v>
      </c>
      <c r="Y24">
        <v>49</v>
      </c>
      <c r="Z24">
        <v>62</v>
      </c>
      <c r="AA24">
        <v>44</v>
      </c>
      <c r="AB24">
        <v>63</v>
      </c>
      <c r="AC24">
        <v>58</v>
      </c>
      <c r="AD24">
        <v>52</v>
      </c>
      <c r="AE24">
        <v>55</v>
      </c>
      <c r="AF24">
        <v>56</v>
      </c>
      <c r="AG24">
        <v>67</v>
      </c>
      <c r="AI24" t="s">
        <v>21</v>
      </c>
      <c r="AJ24">
        <f t="shared" si="0"/>
        <v>2</v>
      </c>
    </row>
    <row r="25" spans="2:36" x14ac:dyDescent="0.35">
      <c r="B25" t="s">
        <v>16</v>
      </c>
      <c r="C25" t="s">
        <v>14</v>
      </c>
      <c r="D25" t="s">
        <v>37</v>
      </c>
      <c r="E25">
        <v>34</v>
      </c>
      <c r="F25">
        <v>42</v>
      </c>
      <c r="G25">
        <v>52</v>
      </c>
      <c r="H25">
        <v>51</v>
      </c>
      <c r="I25">
        <v>38</v>
      </c>
      <c r="J25">
        <v>56</v>
      </c>
      <c r="K25">
        <v>38</v>
      </c>
      <c r="L25">
        <v>42</v>
      </c>
      <c r="M25">
        <v>48</v>
      </c>
      <c r="N25">
        <v>45</v>
      </c>
      <c r="O25">
        <v>45</v>
      </c>
      <c r="P25">
        <v>34</v>
      </c>
      <c r="S25" t="s">
        <v>17</v>
      </c>
      <c r="T25" t="s">
        <v>14</v>
      </c>
      <c r="U25" t="s">
        <v>21</v>
      </c>
      <c r="V25">
        <v>42</v>
      </c>
      <c r="W25">
        <v>44</v>
      </c>
      <c r="X25">
        <v>49</v>
      </c>
      <c r="Y25">
        <v>56</v>
      </c>
      <c r="Z25">
        <v>44</v>
      </c>
      <c r="AA25">
        <v>59</v>
      </c>
      <c r="AB25">
        <v>30</v>
      </c>
      <c r="AC25">
        <v>44</v>
      </c>
      <c r="AD25">
        <v>48</v>
      </c>
      <c r="AE25">
        <v>48</v>
      </c>
      <c r="AF25">
        <v>52</v>
      </c>
      <c r="AG25">
        <v>42</v>
      </c>
      <c r="AI25" t="s">
        <v>21</v>
      </c>
      <c r="AJ25">
        <f t="shared" si="0"/>
        <v>2</v>
      </c>
    </row>
    <row r="26" spans="2:36" x14ac:dyDescent="0.35">
      <c r="B26" t="s">
        <v>16</v>
      </c>
      <c r="C26" t="s">
        <v>15</v>
      </c>
      <c r="D26" t="s">
        <v>37</v>
      </c>
      <c r="E26">
        <v>66</v>
      </c>
      <c r="F26">
        <v>58</v>
      </c>
      <c r="G26">
        <v>48</v>
      </c>
      <c r="H26">
        <v>49</v>
      </c>
      <c r="I26">
        <v>62</v>
      </c>
      <c r="J26">
        <v>44</v>
      </c>
      <c r="K26">
        <v>62</v>
      </c>
      <c r="L26">
        <v>58</v>
      </c>
      <c r="M26">
        <v>52</v>
      </c>
      <c r="N26">
        <v>55</v>
      </c>
      <c r="O26">
        <v>55</v>
      </c>
      <c r="P26">
        <v>66</v>
      </c>
      <c r="S26" t="s">
        <v>17</v>
      </c>
      <c r="T26" t="s">
        <v>15</v>
      </c>
      <c r="U26" t="s">
        <v>21</v>
      </c>
      <c r="V26">
        <v>58</v>
      </c>
      <c r="W26">
        <v>56</v>
      </c>
      <c r="X26">
        <v>51</v>
      </c>
      <c r="Y26">
        <v>44</v>
      </c>
      <c r="Z26">
        <v>56</v>
      </c>
      <c r="AA26">
        <v>41</v>
      </c>
      <c r="AB26">
        <v>70</v>
      </c>
      <c r="AC26">
        <v>56</v>
      </c>
      <c r="AD26">
        <v>52</v>
      </c>
      <c r="AE26">
        <v>52</v>
      </c>
      <c r="AF26">
        <v>48</v>
      </c>
      <c r="AG26">
        <v>58</v>
      </c>
      <c r="AI26" t="s">
        <v>21</v>
      </c>
      <c r="AJ26">
        <f t="shared" si="0"/>
        <v>2</v>
      </c>
    </row>
    <row r="27" spans="2:36" x14ac:dyDescent="0.35">
      <c r="B27" t="s">
        <v>17</v>
      </c>
      <c r="C27" t="s">
        <v>14</v>
      </c>
      <c r="D27" t="s">
        <v>37</v>
      </c>
      <c r="E27">
        <v>41</v>
      </c>
      <c r="F27">
        <v>46</v>
      </c>
      <c r="G27">
        <v>51</v>
      </c>
      <c r="H27">
        <v>56</v>
      </c>
      <c r="I27">
        <v>48</v>
      </c>
      <c r="J27">
        <v>59</v>
      </c>
      <c r="K27">
        <v>31</v>
      </c>
      <c r="L27">
        <v>45</v>
      </c>
      <c r="M27">
        <v>48</v>
      </c>
      <c r="N27">
        <v>49</v>
      </c>
      <c r="O27">
        <v>52</v>
      </c>
      <c r="P27">
        <v>41</v>
      </c>
      <c r="S27" t="s">
        <v>59</v>
      </c>
      <c r="T27" t="s">
        <v>14</v>
      </c>
      <c r="U27" t="s">
        <v>21</v>
      </c>
      <c r="V27">
        <v>43</v>
      </c>
      <c r="W27">
        <v>49</v>
      </c>
      <c r="X27">
        <v>49</v>
      </c>
      <c r="Y27">
        <v>53</v>
      </c>
      <c r="Z27">
        <v>38</v>
      </c>
      <c r="AA27">
        <v>64</v>
      </c>
      <c r="AB27">
        <v>43</v>
      </c>
      <c r="AC27">
        <v>45</v>
      </c>
      <c r="AD27">
        <v>57</v>
      </c>
      <c r="AE27">
        <v>55</v>
      </c>
      <c r="AF27">
        <v>47</v>
      </c>
      <c r="AG27">
        <v>43</v>
      </c>
      <c r="AI27" t="s">
        <v>21</v>
      </c>
      <c r="AJ27">
        <f t="shared" si="0"/>
        <v>2</v>
      </c>
    </row>
    <row r="28" spans="2:36" x14ac:dyDescent="0.35">
      <c r="B28" t="s">
        <v>17</v>
      </c>
      <c r="C28" t="s">
        <v>15</v>
      </c>
      <c r="D28" t="s">
        <v>37</v>
      </c>
      <c r="E28">
        <v>59</v>
      </c>
      <c r="F28">
        <v>54</v>
      </c>
      <c r="G28">
        <v>49</v>
      </c>
      <c r="H28">
        <v>44</v>
      </c>
      <c r="I28">
        <v>52</v>
      </c>
      <c r="J28">
        <v>41</v>
      </c>
      <c r="K28">
        <v>69</v>
      </c>
      <c r="L28">
        <v>55</v>
      </c>
      <c r="M28">
        <v>52</v>
      </c>
      <c r="N28">
        <v>51</v>
      </c>
      <c r="O28">
        <v>48</v>
      </c>
      <c r="P28">
        <v>59</v>
      </c>
      <c r="S28" t="s">
        <v>59</v>
      </c>
      <c r="T28" t="s">
        <v>15</v>
      </c>
      <c r="U28" t="s">
        <v>21</v>
      </c>
      <c r="V28">
        <v>57</v>
      </c>
      <c r="W28">
        <v>51</v>
      </c>
      <c r="X28">
        <v>51</v>
      </c>
      <c r="Y28">
        <v>47</v>
      </c>
      <c r="Z28">
        <v>62</v>
      </c>
      <c r="AA28">
        <v>36</v>
      </c>
      <c r="AB28">
        <v>57</v>
      </c>
      <c r="AC28">
        <v>55</v>
      </c>
      <c r="AD28">
        <v>43</v>
      </c>
      <c r="AE28">
        <v>45</v>
      </c>
      <c r="AF28">
        <v>53</v>
      </c>
      <c r="AG28">
        <v>57</v>
      </c>
      <c r="AI28" t="s">
        <v>21</v>
      </c>
      <c r="AJ28">
        <f t="shared" si="0"/>
        <v>2</v>
      </c>
    </row>
    <row r="29" spans="2:36" x14ac:dyDescent="0.35">
      <c r="B29" t="s">
        <v>13</v>
      </c>
      <c r="C29" t="s">
        <v>14</v>
      </c>
      <c r="D29" t="s">
        <v>38</v>
      </c>
      <c r="E29">
        <v>35</v>
      </c>
      <c r="F29">
        <v>42</v>
      </c>
      <c r="G29">
        <v>52</v>
      </c>
      <c r="H29">
        <v>51</v>
      </c>
      <c r="I29">
        <v>39</v>
      </c>
      <c r="J29">
        <v>57</v>
      </c>
      <c r="K29">
        <v>38</v>
      </c>
      <c r="L29">
        <v>43</v>
      </c>
      <c r="M29">
        <v>48</v>
      </c>
      <c r="N29">
        <v>46</v>
      </c>
      <c r="O29">
        <v>46</v>
      </c>
      <c r="P29">
        <v>35</v>
      </c>
      <c r="S29" t="s">
        <v>13</v>
      </c>
      <c r="T29" t="s">
        <v>14</v>
      </c>
      <c r="U29" t="s">
        <v>22</v>
      </c>
      <c r="V29">
        <v>34</v>
      </c>
      <c r="W29">
        <v>42</v>
      </c>
      <c r="X29">
        <v>52</v>
      </c>
      <c r="Y29">
        <v>51</v>
      </c>
      <c r="Z29">
        <v>39</v>
      </c>
      <c r="AA29">
        <v>57</v>
      </c>
      <c r="AB29">
        <v>38</v>
      </c>
      <c r="AC29">
        <v>43</v>
      </c>
      <c r="AD29">
        <v>48</v>
      </c>
      <c r="AE29">
        <v>46</v>
      </c>
      <c r="AF29">
        <v>46</v>
      </c>
      <c r="AG29">
        <v>34</v>
      </c>
      <c r="AI29" t="s">
        <v>22</v>
      </c>
      <c r="AJ29">
        <f t="shared" si="0"/>
        <v>3</v>
      </c>
    </row>
    <row r="30" spans="2:36" x14ac:dyDescent="0.35">
      <c r="B30" t="s">
        <v>13</v>
      </c>
      <c r="C30" t="s">
        <v>15</v>
      </c>
      <c r="D30" t="s">
        <v>38</v>
      </c>
      <c r="E30">
        <v>65</v>
      </c>
      <c r="F30">
        <v>58</v>
      </c>
      <c r="G30">
        <v>48</v>
      </c>
      <c r="H30">
        <v>49</v>
      </c>
      <c r="I30">
        <v>61</v>
      </c>
      <c r="J30">
        <v>43</v>
      </c>
      <c r="K30">
        <v>62</v>
      </c>
      <c r="L30">
        <v>57</v>
      </c>
      <c r="M30">
        <v>52</v>
      </c>
      <c r="N30">
        <v>54</v>
      </c>
      <c r="O30">
        <v>54</v>
      </c>
      <c r="P30">
        <v>65</v>
      </c>
      <c r="S30" t="s">
        <v>13</v>
      </c>
      <c r="T30" t="s">
        <v>15</v>
      </c>
      <c r="U30" t="s">
        <v>22</v>
      </c>
      <c r="V30">
        <v>66</v>
      </c>
      <c r="W30">
        <v>58</v>
      </c>
      <c r="X30">
        <v>48</v>
      </c>
      <c r="Y30">
        <v>49</v>
      </c>
      <c r="Z30">
        <v>61</v>
      </c>
      <c r="AA30">
        <v>43</v>
      </c>
      <c r="AB30">
        <v>62</v>
      </c>
      <c r="AC30">
        <v>57</v>
      </c>
      <c r="AD30">
        <v>52</v>
      </c>
      <c r="AE30">
        <v>54</v>
      </c>
      <c r="AF30">
        <v>54</v>
      </c>
      <c r="AG30">
        <v>66</v>
      </c>
      <c r="AI30" t="s">
        <v>22</v>
      </c>
      <c r="AJ30">
        <f t="shared" si="0"/>
        <v>3</v>
      </c>
    </row>
    <row r="31" spans="2:36" x14ac:dyDescent="0.35">
      <c r="B31" t="s">
        <v>16</v>
      </c>
      <c r="C31" t="s">
        <v>14</v>
      </c>
      <c r="D31" t="s">
        <v>38</v>
      </c>
      <c r="E31">
        <v>35</v>
      </c>
      <c r="F31">
        <v>42</v>
      </c>
      <c r="G31">
        <v>52</v>
      </c>
      <c r="H31">
        <v>51</v>
      </c>
      <c r="I31">
        <v>39</v>
      </c>
      <c r="J31">
        <v>56</v>
      </c>
      <c r="K31">
        <v>38</v>
      </c>
      <c r="L31">
        <v>42</v>
      </c>
      <c r="M31">
        <v>48</v>
      </c>
      <c r="N31">
        <v>45</v>
      </c>
      <c r="O31">
        <v>46</v>
      </c>
      <c r="P31">
        <v>35</v>
      </c>
      <c r="S31" t="s">
        <v>16</v>
      </c>
      <c r="T31" t="s">
        <v>14</v>
      </c>
      <c r="U31" t="s">
        <v>22</v>
      </c>
      <c r="V31">
        <v>34</v>
      </c>
      <c r="W31">
        <v>42</v>
      </c>
      <c r="X31">
        <v>52</v>
      </c>
      <c r="Y31">
        <v>51</v>
      </c>
      <c r="Z31">
        <v>38</v>
      </c>
      <c r="AA31">
        <v>56</v>
      </c>
      <c r="AB31">
        <v>38</v>
      </c>
      <c r="AC31">
        <v>42</v>
      </c>
      <c r="AD31">
        <v>48</v>
      </c>
      <c r="AE31">
        <v>45</v>
      </c>
      <c r="AF31">
        <v>45</v>
      </c>
      <c r="AG31">
        <v>34</v>
      </c>
      <c r="AI31" t="s">
        <v>22</v>
      </c>
      <c r="AJ31">
        <f t="shared" si="0"/>
        <v>3</v>
      </c>
    </row>
    <row r="32" spans="2:36" x14ac:dyDescent="0.35">
      <c r="B32" t="s">
        <v>16</v>
      </c>
      <c r="C32" t="s">
        <v>15</v>
      </c>
      <c r="D32" t="s">
        <v>38</v>
      </c>
      <c r="E32">
        <v>65</v>
      </c>
      <c r="F32">
        <v>58</v>
      </c>
      <c r="G32">
        <v>48</v>
      </c>
      <c r="H32">
        <v>49</v>
      </c>
      <c r="I32">
        <v>61</v>
      </c>
      <c r="J32">
        <v>44</v>
      </c>
      <c r="K32">
        <v>62</v>
      </c>
      <c r="L32">
        <v>58</v>
      </c>
      <c r="M32">
        <v>52</v>
      </c>
      <c r="N32">
        <v>55</v>
      </c>
      <c r="O32">
        <v>54</v>
      </c>
      <c r="P32">
        <v>65</v>
      </c>
      <c r="S32" t="s">
        <v>16</v>
      </c>
      <c r="T32" t="s">
        <v>15</v>
      </c>
      <c r="U32" t="s">
        <v>22</v>
      </c>
      <c r="V32">
        <v>66</v>
      </c>
      <c r="W32">
        <v>58</v>
      </c>
      <c r="X32">
        <v>48</v>
      </c>
      <c r="Y32">
        <v>49</v>
      </c>
      <c r="Z32">
        <v>62</v>
      </c>
      <c r="AA32">
        <v>44</v>
      </c>
      <c r="AB32">
        <v>62</v>
      </c>
      <c r="AC32">
        <v>58</v>
      </c>
      <c r="AD32">
        <v>52</v>
      </c>
      <c r="AE32">
        <v>55</v>
      </c>
      <c r="AF32">
        <v>55</v>
      </c>
      <c r="AG32">
        <v>66</v>
      </c>
      <c r="AI32" t="s">
        <v>22</v>
      </c>
      <c r="AJ32">
        <f t="shared" si="0"/>
        <v>3</v>
      </c>
    </row>
    <row r="33" spans="2:36" x14ac:dyDescent="0.35">
      <c r="B33" t="s">
        <v>17</v>
      </c>
      <c r="C33" t="s">
        <v>14</v>
      </c>
      <c r="D33" t="s">
        <v>38</v>
      </c>
      <c r="E33">
        <v>41</v>
      </c>
      <c r="F33">
        <v>45</v>
      </c>
      <c r="G33">
        <v>55</v>
      </c>
      <c r="H33">
        <v>59</v>
      </c>
      <c r="I33">
        <v>46</v>
      </c>
      <c r="J33">
        <v>58</v>
      </c>
      <c r="K33">
        <v>31</v>
      </c>
      <c r="L33">
        <v>46</v>
      </c>
      <c r="M33">
        <v>45</v>
      </c>
      <c r="N33">
        <v>45</v>
      </c>
      <c r="O33">
        <v>52</v>
      </c>
      <c r="P33">
        <v>41</v>
      </c>
      <c r="S33" t="s">
        <v>17</v>
      </c>
      <c r="T33" t="s">
        <v>14</v>
      </c>
      <c r="U33" t="s">
        <v>22</v>
      </c>
      <c r="V33">
        <v>41</v>
      </c>
      <c r="W33">
        <v>46</v>
      </c>
      <c r="X33">
        <v>51</v>
      </c>
      <c r="Y33">
        <v>56</v>
      </c>
      <c r="Z33">
        <v>48</v>
      </c>
      <c r="AA33">
        <v>59</v>
      </c>
      <c r="AB33">
        <v>31</v>
      </c>
      <c r="AC33">
        <v>45</v>
      </c>
      <c r="AD33">
        <v>48</v>
      </c>
      <c r="AE33">
        <v>49</v>
      </c>
      <c r="AF33">
        <v>52</v>
      </c>
      <c r="AG33">
        <v>41</v>
      </c>
      <c r="AI33" t="s">
        <v>22</v>
      </c>
      <c r="AJ33">
        <f t="shared" si="0"/>
        <v>3</v>
      </c>
    </row>
    <row r="34" spans="2:36" x14ac:dyDescent="0.35">
      <c r="B34" t="s">
        <v>17</v>
      </c>
      <c r="C34" t="s">
        <v>15</v>
      </c>
      <c r="D34" t="s">
        <v>38</v>
      </c>
      <c r="E34">
        <v>59</v>
      </c>
      <c r="F34">
        <v>55</v>
      </c>
      <c r="G34">
        <v>45</v>
      </c>
      <c r="H34">
        <v>41</v>
      </c>
      <c r="I34">
        <v>54</v>
      </c>
      <c r="J34">
        <v>42</v>
      </c>
      <c r="K34">
        <v>69</v>
      </c>
      <c r="L34">
        <v>54</v>
      </c>
      <c r="M34">
        <v>55</v>
      </c>
      <c r="N34">
        <v>55</v>
      </c>
      <c r="O34">
        <v>48</v>
      </c>
      <c r="P34">
        <v>59</v>
      </c>
      <c r="S34" t="s">
        <v>17</v>
      </c>
      <c r="T34" t="s">
        <v>15</v>
      </c>
      <c r="U34" t="s">
        <v>22</v>
      </c>
      <c r="V34">
        <v>59</v>
      </c>
      <c r="W34">
        <v>54</v>
      </c>
      <c r="X34">
        <v>49</v>
      </c>
      <c r="Y34">
        <v>44</v>
      </c>
      <c r="Z34">
        <v>52</v>
      </c>
      <c r="AA34">
        <v>41</v>
      </c>
      <c r="AB34">
        <v>69</v>
      </c>
      <c r="AC34">
        <v>55</v>
      </c>
      <c r="AD34">
        <v>52</v>
      </c>
      <c r="AE34">
        <v>51</v>
      </c>
      <c r="AF34">
        <v>48</v>
      </c>
      <c r="AG34">
        <v>59</v>
      </c>
      <c r="AI34" t="s">
        <v>22</v>
      </c>
      <c r="AJ34">
        <f t="shared" si="0"/>
        <v>3</v>
      </c>
    </row>
    <row r="35" spans="2:36" x14ac:dyDescent="0.35">
      <c r="B35" t="s">
        <v>13</v>
      </c>
      <c r="C35" t="s">
        <v>14</v>
      </c>
      <c r="D35" t="s">
        <v>39</v>
      </c>
      <c r="E35">
        <v>35</v>
      </c>
      <c r="F35">
        <v>43</v>
      </c>
      <c r="G35">
        <v>52</v>
      </c>
      <c r="H35">
        <v>51</v>
      </c>
      <c r="I35">
        <v>40</v>
      </c>
      <c r="J35">
        <v>57</v>
      </c>
      <c r="K35">
        <v>39</v>
      </c>
      <c r="L35">
        <v>43</v>
      </c>
      <c r="M35">
        <v>49</v>
      </c>
      <c r="N35">
        <v>46</v>
      </c>
      <c r="O35">
        <v>46</v>
      </c>
      <c r="P35">
        <v>35</v>
      </c>
      <c r="S35" t="s">
        <v>59</v>
      </c>
      <c r="T35" t="s">
        <v>14</v>
      </c>
      <c r="U35" t="s">
        <v>22</v>
      </c>
      <c r="V35">
        <v>34</v>
      </c>
      <c r="W35">
        <v>45</v>
      </c>
      <c r="X35">
        <v>45</v>
      </c>
      <c r="Y35">
        <v>45</v>
      </c>
      <c r="Z35">
        <v>30</v>
      </c>
      <c r="AA35">
        <v>55</v>
      </c>
      <c r="AB35">
        <v>45</v>
      </c>
      <c r="AC35">
        <v>47</v>
      </c>
      <c r="AD35">
        <v>49</v>
      </c>
      <c r="AE35">
        <v>47</v>
      </c>
      <c r="AF35">
        <v>51</v>
      </c>
      <c r="AG35">
        <v>34</v>
      </c>
      <c r="AI35" t="s">
        <v>22</v>
      </c>
      <c r="AJ35">
        <f t="shared" si="0"/>
        <v>3</v>
      </c>
    </row>
    <row r="36" spans="2:36" x14ac:dyDescent="0.35">
      <c r="B36" t="s">
        <v>13</v>
      </c>
      <c r="C36" t="s">
        <v>15</v>
      </c>
      <c r="D36" t="s">
        <v>39</v>
      </c>
      <c r="E36">
        <v>65</v>
      </c>
      <c r="F36">
        <v>57</v>
      </c>
      <c r="G36">
        <v>48</v>
      </c>
      <c r="H36">
        <v>49</v>
      </c>
      <c r="I36">
        <v>60</v>
      </c>
      <c r="J36">
        <v>43</v>
      </c>
      <c r="K36">
        <v>61</v>
      </c>
      <c r="L36">
        <v>57</v>
      </c>
      <c r="M36">
        <v>51</v>
      </c>
      <c r="N36">
        <v>54</v>
      </c>
      <c r="O36">
        <v>54</v>
      </c>
      <c r="P36">
        <v>65</v>
      </c>
      <c r="S36" t="s">
        <v>59</v>
      </c>
      <c r="T36" t="s">
        <v>15</v>
      </c>
      <c r="U36" t="s">
        <v>22</v>
      </c>
      <c r="V36">
        <v>66</v>
      </c>
      <c r="W36">
        <v>55</v>
      </c>
      <c r="X36">
        <v>55</v>
      </c>
      <c r="Y36">
        <v>55</v>
      </c>
      <c r="Z36">
        <v>70</v>
      </c>
      <c r="AA36">
        <v>45</v>
      </c>
      <c r="AB36">
        <v>55</v>
      </c>
      <c r="AC36">
        <v>53</v>
      </c>
      <c r="AD36">
        <v>51</v>
      </c>
      <c r="AE36">
        <v>53</v>
      </c>
      <c r="AF36">
        <v>49</v>
      </c>
      <c r="AG36">
        <v>66</v>
      </c>
      <c r="AI36" t="s">
        <v>22</v>
      </c>
      <c r="AJ36">
        <f t="shared" si="0"/>
        <v>3</v>
      </c>
    </row>
    <row r="37" spans="2:36" x14ac:dyDescent="0.35">
      <c r="B37" t="s">
        <v>16</v>
      </c>
      <c r="C37" t="s">
        <v>14</v>
      </c>
      <c r="D37" t="s">
        <v>39</v>
      </c>
      <c r="E37">
        <v>35</v>
      </c>
      <c r="F37">
        <v>42</v>
      </c>
      <c r="G37">
        <v>52</v>
      </c>
      <c r="H37">
        <v>51</v>
      </c>
      <c r="I37">
        <v>40</v>
      </c>
      <c r="J37">
        <v>56</v>
      </c>
      <c r="K37">
        <v>38</v>
      </c>
      <c r="L37">
        <v>43</v>
      </c>
      <c r="M37">
        <v>49</v>
      </c>
      <c r="N37">
        <v>46</v>
      </c>
      <c r="O37">
        <v>46</v>
      </c>
      <c r="P37">
        <v>35</v>
      </c>
      <c r="S37" t="s">
        <v>13</v>
      </c>
      <c r="T37" t="s">
        <v>14</v>
      </c>
      <c r="U37" t="s">
        <v>23</v>
      </c>
      <c r="V37">
        <v>35</v>
      </c>
      <c r="W37">
        <v>42</v>
      </c>
      <c r="X37">
        <v>52</v>
      </c>
      <c r="Y37">
        <v>51</v>
      </c>
      <c r="Z37">
        <v>39</v>
      </c>
      <c r="AA37">
        <v>57</v>
      </c>
      <c r="AB37">
        <v>38</v>
      </c>
      <c r="AC37">
        <v>43</v>
      </c>
      <c r="AD37">
        <v>48</v>
      </c>
      <c r="AE37">
        <v>46</v>
      </c>
      <c r="AF37">
        <v>46</v>
      </c>
      <c r="AG37">
        <v>35</v>
      </c>
      <c r="AI37" t="s">
        <v>23</v>
      </c>
      <c r="AJ37">
        <f t="shared" si="0"/>
        <v>4</v>
      </c>
    </row>
    <row r="38" spans="2:36" x14ac:dyDescent="0.35">
      <c r="B38" t="s">
        <v>16</v>
      </c>
      <c r="C38" t="s">
        <v>15</v>
      </c>
      <c r="D38" t="s">
        <v>39</v>
      </c>
      <c r="E38">
        <v>65</v>
      </c>
      <c r="F38">
        <v>58</v>
      </c>
      <c r="G38">
        <v>48</v>
      </c>
      <c r="H38">
        <v>49</v>
      </c>
      <c r="I38">
        <v>60</v>
      </c>
      <c r="J38">
        <v>44</v>
      </c>
      <c r="K38">
        <v>62</v>
      </c>
      <c r="L38">
        <v>57</v>
      </c>
      <c r="M38">
        <v>51</v>
      </c>
      <c r="N38">
        <v>54</v>
      </c>
      <c r="O38">
        <v>54</v>
      </c>
      <c r="P38">
        <v>65</v>
      </c>
      <c r="S38" t="s">
        <v>13</v>
      </c>
      <c r="T38" t="s">
        <v>15</v>
      </c>
      <c r="U38" t="s">
        <v>23</v>
      </c>
      <c r="V38">
        <v>65</v>
      </c>
      <c r="W38">
        <v>58</v>
      </c>
      <c r="X38">
        <v>48</v>
      </c>
      <c r="Y38">
        <v>49</v>
      </c>
      <c r="Z38">
        <v>61</v>
      </c>
      <c r="AA38">
        <v>43</v>
      </c>
      <c r="AB38">
        <v>62</v>
      </c>
      <c r="AC38">
        <v>57</v>
      </c>
      <c r="AD38">
        <v>52</v>
      </c>
      <c r="AE38">
        <v>54</v>
      </c>
      <c r="AF38">
        <v>54</v>
      </c>
      <c r="AG38">
        <v>65</v>
      </c>
      <c r="AI38" t="s">
        <v>23</v>
      </c>
      <c r="AJ38">
        <f t="shared" si="0"/>
        <v>4</v>
      </c>
    </row>
    <row r="39" spans="2:36" x14ac:dyDescent="0.35">
      <c r="B39" t="s">
        <v>17</v>
      </c>
      <c r="C39" t="s">
        <v>14</v>
      </c>
      <c r="D39" t="s">
        <v>39</v>
      </c>
      <c r="E39">
        <v>37</v>
      </c>
      <c r="F39">
        <v>44</v>
      </c>
      <c r="G39">
        <v>48</v>
      </c>
      <c r="H39">
        <v>54</v>
      </c>
      <c r="I39">
        <v>45</v>
      </c>
      <c r="J39">
        <v>58</v>
      </c>
      <c r="K39">
        <v>32</v>
      </c>
      <c r="L39">
        <v>48</v>
      </c>
      <c r="M39">
        <v>51</v>
      </c>
      <c r="N39">
        <v>48</v>
      </c>
      <c r="O39">
        <v>45</v>
      </c>
      <c r="P39">
        <v>37</v>
      </c>
      <c r="S39" t="s">
        <v>16</v>
      </c>
      <c r="T39" t="s">
        <v>14</v>
      </c>
      <c r="U39" t="s">
        <v>23</v>
      </c>
      <c r="V39">
        <v>35</v>
      </c>
      <c r="W39">
        <v>42</v>
      </c>
      <c r="X39">
        <v>52</v>
      </c>
      <c r="Y39">
        <v>51</v>
      </c>
      <c r="Z39">
        <v>39</v>
      </c>
      <c r="AA39">
        <v>56</v>
      </c>
      <c r="AB39">
        <v>38</v>
      </c>
      <c r="AC39">
        <v>42</v>
      </c>
      <c r="AD39">
        <v>48</v>
      </c>
      <c r="AE39">
        <v>45</v>
      </c>
      <c r="AF39">
        <v>46</v>
      </c>
      <c r="AG39">
        <v>35</v>
      </c>
      <c r="AI39" t="s">
        <v>23</v>
      </c>
      <c r="AJ39">
        <f t="shared" si="0"/>
        <v>4</v>
      </c>
    </row>
    <row r="40" spans="2:36" x14ac:dyDescent="0.35">
      <c r="B40" t="s">
        <v>17</v>
      </c>
      <c r="C40" t="s">
        <v>15</v>
      </c>
      <c r="D40" t="s">
        <v>39</v>
      </c>
      <c r="E40">
        <v>63</v>
      </c>
      <c r="F40">
        <v>56</v>
      </c>
      <c r="G40">
        <v>52</v>
      </c>
      <c r="H40">
        <v>46</v>
      </c>
      <c r="I40">
        <v>55</v>
      </c>
      <c r="J40">
        <v>42</v>
      </c>
      <c r="K40">
        <v>68</v>
      </c>
      <c r="L40">
        <v>52</v>
      </c>
      <c r="M40">
        <v>49</v>
      </c>
      <c r="N40">
        <v>52</v>
      </c>
      <c r="O40">
        <v>55</v>
      </c>
      <c r="P40">
        <v>63</v>
      </c>
      <c r="S40" t="s">
        <v>16</v>
      </c>
      <c r="T40" t="s">
        <v>15</v>
      </c>
      <c r="U40" t="s">
        <v>23</v>
      </c>
      <c r="V40">
        <v>65</v>
      </c>
      <c r="W40">
        <v>58</v>
      </c>
      <c r="X40">
        <v>48</v>
      </c>
      <c r="Y40">
        <v>49</v>
      </c>
      <c r="Z40">
        <v>61</v>
      </c>
      <c r="AA40">
        <v>44</v>
      </c>
      <c r="AB40">
        <v>62</v>
      </c>
      <c r="AC40">
        <v>58</v>
      </c>
      <c r="AD40">
        <v>52</v>
      </c>
      <c r="AE40">
        <v>55</v>
      </c>
      <c r="AF40">
        <v>54</v>
      </c>
      <c r="AG40">
        <v>65</v>
      </c>
      <c r="AI40" t="s">
        <v>23</v>
      </c>
      <c r="AJ40">
        <f t="shared" si="0"/>
        <v>4</v>
      </c>
    </row>
    <row r="41" spans="2:36" x14ac:dyDescent="0.35">
      <c r="B41" t="s">
        <v>13</v>
      </c>
      <c r="C41" t="s">
        <v>14</v>
      </c>
      <c r="D41" t="s">
        <v>40</v>
      </c>
      <c r="E41">
        <v>35</v>
      </c>
      <c r="F41">
        <v>43</v>
      </c>
      <c r="G41">
        <v>52</v>
      </c>
      <c r="H41">
        <v>51</v>
      </c>
      <c r="I41">
        <v>40</v>
      </c>
      <c r="J41">
        <v>57</v>
      </c>
      <c r="K41">
        <v>39</v>
      </c>
      <c r="L41">
        <v>44</v>
      </c>
      <c r="M41">
        <v>50</v>
      </c>
      <c r="N41">
        <v>47</v>
      </c>
      <c r="O41">
        <v>46</v>
      </c>
      <c r="P41">
        <v>35</v>
      </c>
      <c r="S41" t="s">
        <v>17</v>
      </c>
      <c r="T41" t="s">
        <v>14</v>
      </c>
      <c r="U41" t="s">
        <v>23</v>
      </c>
      <c r="V41">
        <v>41</v>
      </c>
      <c r="W41">
        <v>45</v>
      </c>
      <c r="X41">
        <v>55</v>
      </c>
      <c r="Y41">
        <v>59</v>
      </c>
      <c r="Z41">
        <v>46</v>
      </c>
      <c r="AA41">
        <v>58</v>
      </c>
      <c r="AB41">
        <v>31</v>
      </c>
      <c r="AC41">
        <v>46</v>
      </c>
      <c r="AD41">
        <v>45</v>
      </c>
      <c r="AE41">
        <v>45</v>
      </c>
      <c r="AF41">
        <v>52</v>
      </c>
      <c r="AG41">
        <v>41</v>
      </c>
      <c r="AI41" t="s">
        <v>23</v>
      </c>
      <c r="AJ41">
        <f t="shared" si="0"/>
        <v>4</v>
      </c>
    </row>
    <row r="42" spans="2:36" x14ac:dyDescent="0.35">
      <c r="B42" t="s">
        <v>13</v>
      </c>
      <c r="C42" t="s">
        <v>15</v>
      </c>
      <c r="D42" t="s">
        <v>40</v>
      </c>
      <c r="E42">
        <v>65</v>
      </c>
      <c r="F42">
        <v>57</v>
      </c>
      <c r="G42">
        <v>48</v>
      </c>
      <c r="H42">
        <v>49</v>
      </c>
      <c r="I42">
        <v>60</v>
      </c>
      <c r="J42">
        <v>43</v>
      </c>
      <c r="K42">
        <v>61</v>
      </c>
      <c r="L42">
        <v>56</v>
      </c>
      <c r="M42">
        <v>50</v>
      </c>
      <c r="N42">
        <v>53</v>
      </c>
      <c r="O42">
        <v>54</v>
      </c>
      <c r="P42">
        <v>65</v>
      </c>
      <c r="S42" t="s">
        <v>17</v>
      </c>
      <c r="T42" t="s">
        <v>15</v>
      </c>
      <c r="U42" t="s">
        <v>23</v>
      </c>
      <c r="V42">
        <v>59</v>
      </c>
      <c r="W42">
        <v>55</v>
      </c>
      <c r="X42">
        <v>45</v>
      </c>
      <c r="Y42">
        <v>41</v>
      </c>
      <c r="Z42">
        <v>54</v>
      </c>
      <c r="AA42">
        <v>42</v>
      </c>
      <c r="AB42">
        <v>69</v>
      </c>
      <c r="AC42">
        <v>54</v>
      </c>
      <c r="AD42">
        <v>55</v>
      </c>
      <c r="AE42">
        <v>55</v>
      </c>
      <c r="AF42">
        <v>48</v>
      </c>
      <c r="AG42">
        <v>59</v>
      </c>
      <c r="AI42" t="s">
        <v>23</v>
      </c>
      <c r="AJ42">
        <f t="shared" si="0"/>
        <v>4</v>
      </c>
    </row>
    <row r="43" spans="2:36" x14ac:dyDescent="0.35">
      <c r="B43" t="s">
        <v>16</v>
      </c>
      <c r="C43" t="s">
        <v>14</v>
      </c>
      <c r="D43" t="s">
        <v>40</v>
      </c>
      <c r="E43">
        <v>35</v>
      </c>
      <c r="F43">
        <v>43</v>
      </c>
      <c r="G43">
        <v>52</v>
      </c>
      <c r="H43">
        <v>51</v>
      </c>
      <c r="I43">
        <v>40</v>
      </c>
      <c r="J43">
        <v>56</v>
      </c>
      <c r="K43">
        <v>38</v>
      </c>
      <c r="L43">
        <v>44</v>
      </c>
      <c r="M43">
        <v>49</v>
      </c>
      <c r="N43">
        <v>47</v>
      </c>
      <c r="O43">
        <v>46</v>
      </c>
      <c r="P43">
        <v>35</v>
      </c>
      <c r="S43" t="s">
        <v>59</v>
      </c>
      <c r="T43" t="s">
        <v>14</v>
      </c>
      <c r="U43" t="s">
        <v>23</v>
      </c>
      <c r="V43">
        <v>43</v>
      </c>
      <c r="W43">
        <v>45</v>
      </c>
      <c r="X43">
        <v>55</v>
      </c>
      <c r="Y43">
        <v>51</v>
      </c>
      <c r="Z43">
        <v>51</v>
      </c>
      <c r="AA43">
        <v>55</v>
      </c>
      <c r="AB43">
        <v>43</v>
      </c>
      <c r="AC43">
        <v>34</v>
      </c>
      <c r="AD43">
        <v>47</v>
      </c>
      <c r="AE43">
        <v>45</v>
      </c>
      <c r="AF43">
        <v>49</v>
      </c>
      <c r="AG43">
        <v>40</v>
      </c>
      <c r="AI43" t="s">
        <v>23</v>
      </c>
      <c r="AJ43">
        <f t="shared" si="0"/>
        <v>4</v>
      </c>
    </row>
    <row r="44" spans="2:36" x14ac:dyDescent="0.35">
      <c r="B44" t="s">
        <v>16</v>
      </c>
      <c r="C44" t="s">
        <v>15</v>
      </c>
      <c r="D44" t="s">
        <v>40</v>
      </c>
      <c r="E44">
        <v>65</v>
      </c>
      <c r="F44">
        <v>57</v>
      </c>
      <c r="G44">
        <v>48</v>
      </c>
      <c r="H44">
        <v>49</v>
      </c>
      <c r="I44">
        <v>60</v>
      </c>
      <c r="J44">
        <v>44</v>
      </c>
      <c r="K44">
        <v>62</v>
      </c>
      <c r="L44">
        <v>56</v>
      </c>
      <c r="M44">
        <v>51</v>
      </c>
      <c r="N44">
        <v>53</v>
      </c>
      <c r="O44">
        <v>54</v>
      </c>
      <c r="P44">
        <v>65</v>
      </c>
      <c r="S44" t="s">
        <v>59</v>
      </c>
      <c r="T44" t="s">
        <v>15</v>
      </c>
      <c r="U44" t="s">
        <v>23</v>
      </c>
      <c r="V44">
        <v>57</v>
      </c>
      <c r="W44">
        <v>55</v>
      </c>
      <c r="X44">
        <v>45</v>
      </c>
      <c r="Y44">
        <v>49</v>
      </c>
      <c r="Z44">
        <v>49</v>
      </c>
      <c r="AA44">
        <v>45</v>
      </c>
      <c r="AB44">
        <v>57</v>
      </c>
      <c r="AC44">
        <v>66</v>
      </c>
      <c r="AD44">
        <v>53</v>
      </c>
      <c r="AE44">
        <v>55</v>
      </c>
      <c r="AF44">
        <v>51</v>
      </c>
      <c r="AG44">
        <v>60</v>
      </c>
      <c r="AI44" t="s">
        <v>23</v>
      </c>
      <c r="AJ44">
        <f t="shared" si="0"/>
        <v>4</v>
      </c>
    </row>
    <row r="45" spans="2:36" x14ac:dyDescent="0.35">
      <c r="B45" t="s">
        <v>17</v>
      </c>
      <c r="C45" t="s">
        <v>14</v>
      </c>
      <c r="D45" t="s">
        <v>40</v>
      </c>
      <c r="E45">
        <v>41</v>
      </c>
      <c r="F45">
        <v>42</v>
      </c>
      <c r="G45">
        <v>55</v>
      </c>
      <c r="H45">
        <v>55</v>
      </c>
      <c r="I45">
        <v>44</v>
      </c>
      <c r="J45">
        <v>56</v>
      </c>
      <c r="K45">
        <v>30</v>
      </c>
      <c r="L45">
        <v>45</v>
      </c>
      <c r="M45">
        <v>49</v>
      </c>
      <c r="N45">
        <v>46</v>
      </c>
      <c r="O45">
        <v>49</v>
      </c>
      <c r="P45">
        <v>41</v>
      </c>
      <c r="S45" t="s">
        <v>13</v>
      </c>
      <c r="T45" t="s">
        <v>14</v>
      </c>
      <c r="U45" t="s">
        <v>24</v>
      </c>
      <c r="V45">
        <v>35</v>
      </c>
      <c r="W45">
        <v>43</v>
      </c>
      <c r="X45">
        <v>52</v>
      </c>
      <c r="Y45">
        <v>51</v>
      </c>
      <c r="Z45">
        <v>40</v>
      </c>
      <c r="AA45">
        <v>57</v>
      </c>
      <c r="AB45">
        <v>39</v>
      </c>
      <c r="AC45">
        <v>43</v>
      </c>
      <c r="AD45">
        <v>49</v>
      </c>
      <c r="AE45">
        <v>46</v>
      </c>
      <c r="AF45">
        <v>46</v>
      </c>
      <c r="AG45">
        <v>35</v>
      </c>
      <c r="AI45" t="s">
        <v>24</v>
      </c>
      <c r="AJ45">
        <f t="shared" si="0"/>
        <v>5</v>
      </c>
    </row>
    <row r="46" spans="2:36" x14ac:dyDescent="0.35">
      <c r="B46" t="s">
        <v>17</v>
      </c>
      <c r="C46" t="s">
        <v>15</v>
      </c>
      <c r="D46" t="s">
        <v>40</v>
      </c>
      <c r="E46">
        <v>59</v>
      </c>
      <c r="F46">
        <v>58</v>
      </c>
      <c r="G46">
        <v>45</v>
      </c>
      <c r="H46">
        <v>45</v>
      </c>
      <c r="I46">
        <v>56</v>
      </c>
      <c r="J46">
        <v>44</v>
      </c>
      <c r="K46">
        <v>70</v>
      </c>
      <c r="L46">
        <v>55</v>
      </c>
      <c r="M46">
        <v>51</v>
      </c>
      <c r="N46">
        <v>54</v>
      </c>
      <c r="O46">
        <v>51</v>
      </c>
      <c r="P46">
        <v>59</v>
      </c>
      <c r="S46" t="s">
        <v>13</v>
      </c>
      <c r="T46" t="s">
        <v>15</v>
      </c>
      <c r="U46" t="s">
        <v>24</v>
      </c>
      <c r="V46">
        <v>65</v>
      </c>
      <c r="W46">
        <v>57</v>
      </c>
      <c r="X46">
        <v>48</v>
      </c>
      <c r="Y46">
        <v>49</v>
      </c>
      <c r="Z46">
        <v>60</v>
      </c>
      <c r="AA46">
        <v>43</v>
      </c>
      <c r="AB46">
        <v>61</v>
      </c>
      <c r="AC46">
        <v>57</v>
      </c>
      <c r="AD46">
        <v>51</v>
      </c>
      <c r="AE46">
        <v>54</v>
      </c>
      <c r="AF46">
        <v>54</v>
      </c>
      <c r="AG46">
        <v>65</v>
      </c>
      <c r="AI46" t="s">
        <v>24</v>
      </c>
      <c r="AJ46">
        <f t="shared" si="0"/>
        <v>5</v>
      </c>
    </row>
    <row r="47" spans="2:36" x14ac:dyDescent="0.35">
      <c r="B47" t="s">
        <v>13</v>
      </c>
      <c r="C47" t="s">
        <v>14</v>
      </c>
      <c r="D47" t="s">
        <v>41</v>
      </c>
      <c r="E47">
        <v>36</v>
      </c>
      <c r="F47">
        <v>43</v>
      </c>
      <c r="G47">
        <v>53</v>
      </c>
      <c r="H47">
        <v>52</v>
      </c>
      <c r="I47">
        <v>41</v>
      </c>
      <c r="J47">
        <v>57</v>
      </c>
      <c r="K47">
        <v>39</v>
      </c>
      <c r="L47">
        <v>44</v>
      </c>
      <c r="M47">
        <v>50</v>
      </c>
      <c r="N47">
        <v>47</v>
      </c>
      <c r="O47">
        <v>47</v>
      </c>
      <c r="P47">
        <v>36</v>
      </c>
      <c r="S47" t="s">
        <v>16</v>
      </c>
      <c r="T47" t="s">
        <v>14</v>
      </c>
      <c r="U47" t="s">
        <v>24</v>
      </c>
      <c r="V47">
        <v>35</v>
      </c>
      <c r="W47">
        <v>42</v>
      </c>
      <c r="X47">
        <v>52</v>
      </c>
      <c r="Y47">
        <v>51</v>
      </c>
      <c r="Z47">
        <v>40</v>
      </c>
      <c r="AA47">
        <v>56</v>
      </c>
      <c r="AB47">
        <v>38</v>
      </c>
      <c r="AC47">
        <v>43</v>
      </c>
      <c r="AD47">
        <v>49</v>
      </c>
      <c r="AE47">
        <v>46</v>
      </c>
      <c r="AF47">
        <v>46</v>
      </c>
      <c r="AG47">
        <v>35</v>
      </c>
      <c r="AI47" t="s">
        <v>24</v>
      </c>
      <c r="AJ47">
        <f t="shared" si="0"/>
        <v>5</v>
      </c>
    </row>
    <row r="48" spans="2:36" x14ac:dyDescent="0.35">
      <c r="B48" t="s">
        <v>13</v>
      </c>
      <c r="C48" t="s">
        <v>15</v>
      </c>
      <c r="D48" t="s">
        <v>41</v>
      </c>
      <c r="E48">
        <v>64</v>
      </c>
      <c r="F48">
        <v>57</v>
      </c>
      <c r="G48">
        <v>47</v>
      </c>
      <c r="H48">
        <v>48</v>
      </c>
      <c r="I48">
        <v>59</v>
      </c>
      <c r="J48">
        <v>43</v>
      </c>
      <c r="K48">
        <v>61</v>
      </c>
      <c r="L48">
        <v>56</v>
      </c>
      <c r="M48">
        <v>50</v>
      </c>
      <c r="N48">
        <v>53</v>
      </c>
      <c r="O48">
        <v>53</v>
      </c>
      <c r="P48">
        <v>64</v>
      </c>
      <c r="S48" t="s">
        <v>16</v>
      </c>
      <c r="T48" t="s">
        <v>15</v>
      </c>
      <c r="U48" t="s">
        <v>24</v>
      </c>
      <c r="V48">
        <v>65</v>
      </c>
      <c r="W48">
        <v>58</v>
      </c>
      <c r="X48">
        <v>48</v>
      </c>
      <c r="Y48">
        <v>49</v>
      </c>
      <c r="Z48">
        <v>60</v>
      </c>
      <c r="AA48">
        <v>44</v>
      </c>
      <c r="AB48">
        <v>62</v>
      </c>
      <c r="AC48">
        <v>57</v>
      </c>
      <c r="AD48">
        <v>51</v>
      </c>
      <c r="AE48">
        <v>54</v>
      </c>
      <c r="AF48">
        <v>54</v>
      </c>
      <c r="AG48">
        <v>65</v>
      </c>
      <c r="AI48" t="s">
        <v>24</v>
      </c>
      <c r="AJ48">
        <f t="shared" si="0"/>
        <v>5</v>
      </c>
    </row>
    <row r="49" spans="2:36" x14ac:dyDescent="0.35">
      <c r="B49" t="s">
        <v>16</v>
      </c>
      <c r="C49" t="s">
        <v>14</v>
      </c>
      <c r="D49" t="s">
        <v>41</v>
      </c>
      <c r="E49">
        <v>35</v>
      </c>
      <c r="F49">
        <v>43</v>
      </c>
      <c r="G49">
        <v>53</v>
      </c>
      <c r="H49">
        <v>51</v>
      </c>
      <c r="I49">
        <v>40</v>
      </c>
      <c r="J49">
        <v>56</v>
      </c>
      <c r="K49">
        <v>38</v>
      </c>
      <c r="L49">
        <v>44</v>
      </c>
      <c r="M49">
        <v>49</v>
      </c>
      <c r="N49">
        <v>47</v>
      </c>
      <c r="O49">
        <v>47</v>
      </c>
      <c r="P49">
        <v>35</v>
      </c>
      <c r="S49" t="s">
        <v>17</v>
      </c>
      <c r="T49" t="s">
        <v>14</v>
      </c>
      <c r="U49" t="s">
        <v>24</v>
      </c>
      <c r="V49">
        <v>37</v>
      </c>
      <c r="W49">
        <v>44</v>
      </c>
      <c r="X49">
        <v>48</v>
      </c>
      <c r="Y49">
        <v>54</v>
      </c>
      <c r="Z49">
        <v>45</v>
      </c>
      <c r="AA49">
        <v>58</v>
      </c>
      <c r="AB49">
        <v>32</v>
      </c>
      <c r="AC49">
        <v>48</v>
      </c>
      <c r="AD49">
        <v>51</v>
      </c>
      <c r="AE49">
        <v>48</v>
      </c>
      <c r="AF49">
        <v>45</v>
      </c>
      <c r="AG49">
        <v>37</v>
      </c>
      <c r="AI49" t="s">
        <v>24</v>
      </c>
      <c r="AJ49">
        <f t="shared" si="0"/>
        <v>5</v>
      </c>
    </row>
    <row r="50" spans="2:36" x14ac:dyDescent="0.35">
      <c r="B50" t="s">
        <v>16</v>
      </c>
      <c r="C50" t="s">
        <v>15</v>
      </c>
      <c r="D50" t="s">
        <v>41</v>
      </c>
      <c r="E50">
        <v>65</v>
      </c>
      <c r="F50">
        <v>57</v>
      </c>
      <c r="G50">
        <v>47</v>
      </c>
      <c r="H50">
        <v>49</v>
      </c>
      <c r="I50">
        <v>60</v>
      </c>
      <c r="J50">
        <v>44</v>
      </c>
      <c r="K50">
        <v>62</v>
      </c>
      <c r="L50">
        <v>56</v>
      </c>
      <c r="M50">
        <v>51</v>
      </c>
      <c r="N50">
        <v>53</v>
      </c>
      <c r="O50">
        <v>53</v>
      </c>
      <c r="P50">
        <v>65</v>
      </c>
      <c r="S50" t="s">
        <v>17</v>
      </c>
      <c r="T50" t="s">
        <v>15</v>
      </c>
      <c r="U50" t="s">
        <v>24</v>
      </c>
      <c r="V50">
        <v>63</v>
      </c>
      <c r="W50">
        <v>56</v>
      </c>
      <c r="X50">
        <v>52</v>
      </c>
      <c r="Y50">
        <v>46</v>
      </c>
      <c r="Z50">
        <v>55</v>
      </c>
      <c r="AA50">
        <v>42</v>
      </c>
      <c r="AB50">
        <v>68</v>
      </c>
      <c r="AC50">
        <v>52</v>
      </c>
      <c r="AD50">
        <v>49</v>
      </c>
      <c r="AE50">
        <v>52</v>
      </c>
      <c r="AF50">
        <v>55</v>
      </c>
      <c r="AG50">
        <v>63</v>
      </c>
      <c r="AI50" t="s">
        <v>24</v>
      </c>
      <c r="AJ50">
        <f t="shared" si="0"/>
        <v>5</v>
      </c>
    </row>
    <row r="51" spans="2:36" x14ac:dyDescent="0.35">
      <c r="B51" t="s">
        <v>17</v>
      </c>
      <c r="C51" t="s">
        <v>14</v>
      </c>
      <c r="D51" t="s">
        <v>41</v>
      </c>
      <c r="E51">
        <v>38</v>
      </c>
      <c r="F51">
        <v>46</v>
      </c>
      <c r="G51">
        <v>54</v>
      </c>
      <c r="H51">
        <v>54</v>
      </c>
      <c r="I51">
        <v>44</v>
      </c>
      <c r="J51">
        <v>62</v>
      </c>
      <c r="K51">
        <v>31</v>
      </c>
      <c r="L51">
        <v>45</v>
      </c>
      <c r="M51">
        <v>54</v>
      </c>
      <c r="N51">
        <v>51</v>
      </c>
      <c r="O51">
        <v>45</v>
      </c>
      <c r="P51">
        <v>38</v>
      </c>
      <c r="S51" t="s">
        <v>59</v>
      </c>
      <c r="T51" t="s">
        <v>14</v>
      </c>
      <c r="U51" t="s">
        <v>24</v>
      </c>
      <c r="V51">
        <v>34</v>
      </c>
      <c r="W51">
        <v>45</v>
      </c>
      <c r="X51">
        <v>49</v>
      </c>
      <c r="Y51">
        <v>43</v>
      </c>
      <c r="Z51">
        <v>30</v>
      </c>
      <c r="AA51">
        <v>51</v>
      </c>
      <c r="AB51">
        <v>47</v>
      </c>
      <c r="AC51">
        <v>40</v>
      </c>
      <c r="AD51">
        <v>53</v>
      </c>
      <c r="AE51">
        <v>47</v>
      </c>
      <c r="AF51">
        <v>43</v>
      </c>
      <c r="AG51">
        <v>32</v>
      </c>
      <c r="AI51" t="s">
        <v>24</v>
      </c>
      <c r="AJ51">
        <f t="shared" si="0"/>
        <v>5</v>
      </c>
    </row>
    <row r="52" spans="2:36" x14ac:dyDescent="0.35">
      <c r="B52" t="s">
        <v>17</v>
      </c>
      <c r="C52" t="s">
        <v>15</v>
      </c>
      <c r="D52" t="s">
        <v>41</v>
      </c>
      <c r="E52">
        <v>62</v>
      </c>
      <c r="F52">
        <v>54</v>
      </c>
      <c r="G52">
        <v>46</v>
      </c>
      <c r="H52">
        <v>46</v>
      </c>
      <c r="I52">
        <v>56</v>
      </c>
      <c r="J52">
        <v>38</v>
      </c>
      <c r="K52">
        <v>69</v>
      </c>
      <c r="L52">
        <v>55</v>
      </c>
      <c r="M52">
        <v>46</v>
      </c>
      <c r="N52">
        <v>49</v>
      </c>
      <c r="O52">
        <v>55</v>
      </c>
      <c r="P52">
        <v>62</v>
      </c>
      <c r="S52" t="s">
        <v>59</v>
      </c>
      <c r="T52" t="s">
        <v>15</v>
      </c>
      <c r="U52" t="s">
        <v>24</v>
      </c>
      <c r="V52">
        <v>66</v>
      </c>
      <c r="W52">
        <v>55</v>
      </c>
      <c r="X52">
        <v>51</v>
      </c>
      <c r="Y52">
        <v>57</v>
      </c>
      <c r="Z52">
        <v>70</v>
      </c>
      <c r="AA52">
        <v>49</v>
      </c>
      <c r="AB52">
        <v>53</v>
      </c>
      <c r="AC52">
        <v>60</v>
      </c>
      <c r="AD52">
        <v>47</v>
      </c>
      <c r="AE52">
        <v>53</v>
      </c>
      <c r="AF52">
        <v>57</v>
      </c>
      <c r="AG52">
        <v>68</v>
      </c>
      <c r="AI52" t="s">
        <v>24</v>
      </c>
      <c r="AJ52">
        <f t="shared" si="0"/>
        <v>5</v>
      </c>
    </row>
    <row r="53" spans="2:36" x14ac:dyDescent="0.35">
      <c r="B53" t="s">
        <v>13</v>
      </c>
      <c r="C53" t="s">
        <v>14</v>
      </c>
      <c r="D53" t="s">
        <v>42</v>
      </c>
      <c r="E53">
        <v>37</v>
      </c>
      <c r="F53">
        <v>44</v>
      </c>
      <c r="G53">
        <v>54</v>
      </c>
      <c r="H53">
        <v>52</v>
      </c>
      <c r="I53">
        <v>41</v>
      </c>
      <c r="J53">
        <v>57</v>
      </c>
      <c r="K53">
        <v>39</v>
      </c>
      <c r="L53">
        <v>45</v>
      </c>
      <c r="M53">
        <v>50</v>
      </c>
      <c r="N53">
        <v>48</v>
      </c>
      <c r="O53">
        <v>48</v>
      </c>
      <c r="P53">
        <v>37</v>
      </c>
      <c r="S53" t="s">
        <v>13</v>
      </c>
      <c r="T53" t="s">
        <v>14</v>
      </c>
      <c r="U53" t="s">
        <v>25</v>
      </c>
      <c r="V53">
        <v>35</v>
      </c>
      <c r="W53">
        <v>43</v>
      </c>
      <c r="X53">
        <v>52</v>
      </c>
      <c r="Y53">
        <v>51</v>
      </c>
      <c r="Z53">
        <v>40</v>
      </c>
      <c r="AA53">
        <v>57</v>
      </c>
      <c r="AB53">
        <v>39</v>
      </c>
      <c r="AC53">
        <v>44</v>
      </c>
      <c r="AD53">
        <v>50</v>
      </c>
      <c r="AE53">
        <v>47</v>
      </c>
      <c r="AF53">
        <v>46</v>
      </c>
      <c r="AG53">
        <v>35</v>
      </c>
      <c r="AI53" t="s">
        <v>25</v>
      </c>
      <c r="AJ53">
        <f t="shared" si="0"/>
        <v>6</v>
      </c>
    </row>
    <row r="54" spans="2:36" x14ac:dyDescent="0.35">
      <c r="B54" t="s">
        <v>13</v>
      </c>
      <c r="C54" t="s">
        <v>15</v>
      </c>
      <c r="D54" t="s">
        <v>42</v>
      </c>
      <c r="E54">
        <v>63</v>
      </c>
      <c r="F54">
        <v>56</v>
      </c>
      <c r="G54">
        <v>46</v>
      </c>
      <c r="H54">
        <v>48</v>
      </c>
      <c r="I54">
        <v>59</v>
      </c>
      <c r="J54">
        <v>43</v>
      </c>
      <c r="K54">
        <v>61</v>
      </c>
      <c r="L54">
        <v>55</v>
      </c>
      <c r="M54">
        <v>50</v>
      </c>
      <c r="N54">
        <v>52</v>
      </c>
      <c r="O54">
        <v>52</v>
      </c>
      <c r="P54">
        <v>63</v>
      </c>
      <c r="S54" t="s">
        <v>13</v>
      </c>
      <c r="T54" t="s">
        <v>15</v>
      </c>
      <c r="U54" t="s">
        <v>25</v>
      </c>
      <c r="V54">
        <v>65</v>
      </c>
      <c r="W54">
        <v>57</v>
      </c>
      <c r="X54">
        <v>48</v>
      </c>
      <c r="Y54">
        <v>49</v>
      </c>
      <c r="Z54">
        <v>60</v>
      </c>
      <c r="AA54">
        <v>43</v>
      </c>
      <c r="AB54">
        <v>61</v>
      </c>
      <c r="AC54">
        <v>56</v>
      </c>
      <c r="AD54">
        <v>50</v>
      </c>
      <c r="AE54">
        <v>53</v>
      </c>
      <c r="AF54">
        <v>54</v>
      </c>
      <c r="AG54">
        <v>65</v>
      </c>
      <c r="AI54" t="s">
        <v>25</v>
      </c>
      <c r="AJ54">
        <f t="shared" si="0"/>
        <v>6</v>
      </c>
    </row>
    <row r="55" spans="2:36" x14ac:dyDescent="0.35">
      <c r="B55" t="s">
        <v>16</v>
      </c>
      <c r="C55" t="s">
        <v>14</v>
      </c>
      <c r="D55" t="s">
        <v>42</v>
      </c>
      <c r="E55">
        <v>36</v>
      </c>
      <c r="F55">
        <v>44</v>
      </c>
      <c r="G55">
        <v>53</v>
      </c>
      <c r="H55">
        <v>51</v>
      </c>
      <c r="I55">
        <v>40</v>
      </c>
      <c r="J55">
        <v>57</v>
      </c>
      <c r="K55">
        <v>38</v>
      </c>
      <c r="L55">
        <v>44</v>
      </c>
      <c r="M55">
        <v>50</v>
      </c>
      <c r="N55">
        <v>47</v>
      </c>
      <c r="O55">
        <v>47</v>
      </c>
      <c r="P55">
        <v>36</v>
      </c>
      <c r="S55" t="s">
        <v>16</v>
      </c>
      <c r="T55" t="s">
        <v>14</v>
      </c>
      <c r="U55" t="s">
        <v>25</v>
      </c>
      <c r="V55">
        <v>35</v>
      </c>
      <c r="W55">
        <v>43</v>
      </c>
      <c r="X55">
        <v>52</v>
      </c>
      <c r="Y55">
        <v>51</v>
      </c>
      <c r="Z55">
        <v>40</v>
      </c>
      <c r="AA55">
        <v>56</v>
      </c>
      <c r="AB55">
        <v>38</v>
      </c>
      <c r="AC55">
        <v>44</v>
      </c>
      <c r="AD55">
        <v>49</v>
      </c>
      <c r="AE55">
        <v>47</v>
      </c>
      <c r="AF55">
        <v>46</v>
      </c>
      <c r="AG55">
        <v>35</v>
      </c>
      <c r="AI55" t="s">
        <v>25</v>
      </c>
      <c r="AJ55">
        <f t="shared" si="0"/>
        <v>6</v>
      </c>
    </row>
    <row r="56" spans="2:36" x14ac:dyDescent="0.35">
      <c r="B56" t="s">
        <v>16</v>
      </c>
      <c r="C56" t="s">
        <v>15</v>
      </c>
      <c r="D56" t="s">
        <v>42</v>
      </c>
      <c r="E56">
        <v>64</v>
      </c>
      <c r="F56">
        <v>56</v>
      </c>
      <c r="G56">
        <v>47</v>
      </c>
      <c r="H56">
        <v>49</v>
      </c>
      <c r="I56">
        <v>60</v>
      </c>
      <c r="J56">
        <v>43</v>
      </c>
      <c r="K56">
        <v>62</v>
      </c>
      <c r="L56">
        <v>56</v>
      </c>
      <c r="M56">
        <v>50</v>
      </c>
      <c r="N56">
        <v>53</v>
      </c>
      <c r="O56">
        <v>53</v>
      </c>
      <c r="P56">
        <v>64</v>
      </c>
      <c r="S56" t="s">
        <v>16</v>
      </c>
      <c r="T56" t="s">
        <v>15</v>
      </c>
      <c r="U56" t="s">
        <v>25</v>
      </c>
      <c r="V56">
        <v>65</v>
      </c>
      <c r="W56">
        <v>57</v>
      </c>
      <c r="X56">
        <v>48</v>
      </c>
      <c r="Y56">
        <v>49</v>
      </c>
      <c r="Z56">
        <v>60</v>
      </c>
      <c r="AA56">
        <v>44</v>
      </c>
      <c r="AB56">
        <v>62</v>
      </c>
      <c r="AC56">
        <v>56</v>
      </c>
      <c r="AD56">
        <v>51</v>
      </c>
      <c r="AE56">
        <v>53</v>
      </c>
      <c r="AF56">
        <v>54</v>
      </c>
      <c r="AG56">
        <v>65</v>
      </c>
      <c r="AI56" t="s">
        <v>25</v>
      </c>
      <c r="AJ56">
        <f t="shared" si="0"/>
        <v>6</v>
      </c>
    </row>
    <row r="57" spans="2:36" x14ac:dyDescent="0.35">
      <c r="B57" t="s">
        <v>17</v>
      </c>
      <c r="C57" t="s">
        <v>14</v>
      </c>
      <c r="D57" t="s">
        <v>42</v>
      </c>
      <c r="E57">
        <v>44</v>
      </c>
      <c r="F57">
        <v>49</v>
      </c>
      <c r="G57">
        <v>52</v>
      </c>
      <c r="H57">
        <v>54</v>
      </c>
      <c r="I57">
        <v>46</v>
      </c>
      <c r="J57">
        <v>63</v>
      </c>
      <c r="K57">
        <v>31</v>
      </c>
      <c r="L57">
        <v>49</v>
      </c>
      <c r="M57">
        <v>58</v>
      </c>
      <c r="N57">
        <v>55</v>
      </c>
      <c r="O57">
        <v>52</v>
      </c>
      <c r="P57">
        <v>44</v>
      </c>
      <c r="S57" t="s">
        <v>17</v>
      </c>
      <c r="T57" t="s">
        <v>14</v>
      </c>
      <c r="U57" t="s">
        <v>25</v>
      </c>
      <c r="V57">
        <v>41</v>
      </c>
      <c r="W57">
        <v>42</v>
      </c>
      <c r="X57">
        <v>55</v>
      </c>
      <c r="Y57">
        <v>55</v>
      </c>
      <c r="Z57">
        <v>44</v>
      </c>
      <c r="AA57">
        <v>56</v>
      </c>
      <c r="AB57">
        <v>30</v>
      </c>
      <c r="AC57">
        <v>45</v>
      </c>
      <c r="AD57">
        <v>49</v>
      </c>
      <c r="AE57">
        <v>46</v>
      </c>
      <c r="AF57">
        <v>49</v>
      </c>
      <c r="AG57">
        <v>41</v>
      </c>
      <c r="AI57" t="s">
        <v>25</v>
      </c>
      <c r="AJ57">
        <f t="shared" si="0"/>
        <v>6</v>
      </c>
    </row>
    <row r="58" spans="2:36" x14ac:dyDescent="0.35">
      <c r="B58" t="s">
        <v>17</v>
      </c>
      <c r="C58" t="s">
        <v>15</v>
      </c>
      <c r="D58" t="s">
        <v>42</v>
      </c>
      <c r="E58">
        <v>56</v>
      </c>
      <c r="F58">
        <v>51</v>
      </c>
      <c r="G58">
        <v>48</v>
      </c>
      <c r="H58">
        <v>46</v>
      </c>
      <c r="I58">
        <v>54</v>
      </c>
      <c r="J58">
        <v>37</v>
      </c>
      <c r="K58">
        <v>69</v>
      </c>
      <c r="L58">
        <v>51</v>
      </c>
      <c r="M58">
        <v>42</v>
      </c>
      <c r="N58">
        <v>45</v>
      </c>
      <c r="O58">
        <v>48</v>
      </c>
      <c r="P58">
        <v>56</v>
      </c>
      <c r="S58" t="s">
        <v>17</v>
      </c>
      <c r="T58" t="s">
        <v>15</v>
      </c>
      <c r="U58" t="s">
        <v>25</v>
      </c>
      <c r="V58">
        <v>59</v>
      </c>
      <c r="W58">
        <v>58</v>
      </c>
      <c r="X58">
        <v>45</v>
      </c>
      <c r="Y58">
        <v>45</v>
      </c>
      <c r="Z58">
        <v>56</v>
      </c>
      <c r="AA58">
        <v>44</v>
      </c>
      <c r="AB58">
        <v>70</v>
      </c>
      <c r="AC58">
        <v>55</v>
      </c>
      <c r="AD58">
        <v>51</v>
      </c>
      <c r="AE58">
        <v>54</v>
      </c>
      <c r="AF58">
        <v>51</v>
      </c>
      <c r="AG58">
        <v>59</v>
      </c>
      <c r="AI58" t="s">
        <v>25</v>
      </c>
      <c r="AJ58">
        <f t="shared" si="0"/>
        <v>6</v>
      </c>
    </row>
    <row r="59" spans="2:36" x14ac:dyDescent="0.35">
      <c r="B59" t="s">
        <v>13</v>
      </c>
      <c r="C59" t="s">
        <v>14</v>
      </c>
      <c r="D59" t="s">
        <v>43</v>
      </c>
      <c r="E59">
        <v>37</v>
      </c>
      <c r="F59">
        <v>45</v>
      </c>
      <c r="G59">
        <v>54</v>
      </c>
      <c r="H59">
        <v>52</v>
      </c>
      <c r="I59">
        <v>41</v>
      </c>
      <c r="J59">
        <v>58</v>
      </c>
      <c r="K59">
        <v>39</v>
      </c>
      <c r="L59">
        <v>45</v>
      </c>
      <c r="M59">
        <v>50</v>
      </c>
      <c r="N59">
        <v>48</v>
      </c>
      <c r="O59">
        <v>48</v>
      </c>
      <c r="P59">
        <v>37</v>
      </c>
      <c r="S59" t="s">
        <v>59</v>
      </c>
      <c r="T59" t="s">
        <v>14</v>
      </c>
      <c r="U59" t="s">
        <v>25</v>
      </c>
      <c r="V59">
        <v>34</v>
      </c>
      <c r="W59">
        <v>49</v>
      </c>
      <c r="X59">
        <v>43</v>
      </c>
      <c r="Y59">
        <v>47</v>
      </c>
      <c r="Z59">
        <v>40</v>
      </c>
      <c r="AA59">
        <v>57</v>
      </c>
      <c r="AB59">
        <v>38</v>
      </c>
      <c r="AC59">
        <v>45</v>
      </c>
      <c r="AD59">
        <v>60</v>
      </c>
      <c r="AE59">
        <v>60</v>
      </c>
      <c r="AF59">
        <v>43</v>
      </c>
      <c r="AG59">
        <v>34</v>
      </c>
      <c r="AI59" t="s">
        <v>25</v>
      </c>
      <c r="AJ59">
        <f t="shared" si="0"/>
        <v>6</v>
      </c>
    </row>
    <row r="60" spans="2:36" x14ac:dyDescent="0.35">
      <c r="B60" t="s">
        <v>13</v>
      </c>
      <c r="C60" t="s">
        <v>15</v>
      </c>
      <c r="D60" t="s">
        <v>43</v>
      </c>
      <c r="E60">
        <v>63</v>
      </c>
      <c r="F60">
        <v>55</v>
      </c>
      <c r="G60">
        <v>46</v>
      </c>
      <c r="H60">
        <v>48</v>
      </c>
      <c r="I60">
        <v>59</v>
      </c>
      <c r="J60">
        <v>42</v>
      </c>
      <c r="K60">
        <v>61</v>
      </c>
      <c r="L60">
        <v>55</v>
      </c>
      <c r="M60">
        <v>50</v>
      </c>
      <c r="N60">
        <v>52</v>
      </c>
      <c r="O60">
        <v>52</v>
      </c>
      <c r="P60">
        <v>63</v>
      </c>
      <c r="S60" t="s">
        <v>59</v>
      </c>
      <c r="T60" t="s">
        <v>15</v>
      </c>
      <c r="U60" t="s">
        <v>25</v>
      </c>
      <c r="V60">
        <v>66</v>
      </c>
      <c r="W60">
        <v>51</v>
      </c>
      <c r="X60">
        <v>57</v>
      </c>
      <c r="Y60">
        <v>53</v>
      </c>
      <c r="Z60">
        <v>60</v>
      </c>
      <c r="AA60">
        <v>43</v>
      </c>
      <c r="AB60">
        <v>62</v>
      </c>
      <c r="AC60">
        <v>55</v>
      </c>
      <c r="AD60">
        <v>40</v>
      </c>
      <c r="AE60">
        <v>40</v>
      </c>
      <c r="AF60">
        <v>57</v>
      </c>
      <c r="AG60">
        <v>66</v>
      </c>
      <c r="AI60" t="s">
        <v>25</v>
      </c>
      <c r="AJ60">
        <f t="shared" si="0"/>
        <v>6</v>
      </c>
    </row>
    <row r="61" spans="2:36" x14ac:dyDescent="0.35">
      <c r="B61" t="s">
        <v>16</v>
      </c>
      <c r="C61" t="s">
        <v>14</v>
      </c>
      <c r="D61" t="s">
        <v>43</v>
      </c>
      <c r="E61">
        <v>37</v>
      </c>
      <c r="F61">
        <v>44</v>
      </c>
      <c r="G61">
        <v>54</v>
      </c>
      <c r="H61">
        <v>52</v>
      </c>
      <c r="I61">
        <v>41</v>
      </c>
      <c r="J61">
        <v>58</v>
      </c>
      <c r="K61">
        <v>38</v>
      </c>
      <c r="L61">
        <v>44</v>
      </c>
      <c r="M61">
        <v>50</v>
      </c>
      <c r="N61">
        <v>48</v>
      </c>
      <c r="O61">
        <v>48</v>
      </c>
      <c r="P61">
        <v>37</v>
      </c>
      <c r="S61" t="s">
        <v>13</v>
      </c>
      <c r="T61" t="s">
        <v>14</v>
      </c>
      <c r="U61" t="s">
        <v>26</v>
      </c>
      <c r="V61">
        <v>36</v>
      </c>
      <c r="W61">
        <v>43</v>
      </c>
      <c r="X61">
        <v>53</v>
      </c>
      <c r="Y61">
        <v>52</v>
      </c>
      <c r="Z61">
        <v>41</v>
      </c>
      <c r="AA61">
        <v>57</v>
      </c>
      <c r="AB61">
        <v>39</v>
      </c>
      <c r="AC61">
        <v>44</v>
      </c>
      <c r="AD61">
        <v>50</v>
      </c>
      <c r="AE61">
        <v>47</v>
      </c>
      <c r="AF61">
        <v>47</v>
      </c>
      <c r="AG61">
        <v>36</v>
      </c>
      <c r="AI61" t="s">
        <v>26</v>
      </c>
      <c r="AJ61">
        <f t="shared" si="0"/>
        <v>7</v>
      </c>
    </row>
    <row r="62" spans="2:36" x14ac:dyDescent="0.35">
      <c r="B62" t="s">
        <v>16</v>
      </c>
      <c r="C62" t="s">
        <v>15</v>
      </c>
      <c r="D62" t="s">
        <v>43</v>
      </c>
      <c r="E62">
        <v>63</v>
      </c>
      <c r="F62">
        <v>56</v>
      </c>
      <c r="G62">
        <v>46</v>
      </c>
      <c r="H62">
        <v>48</v>
      </c>
      <c r="I62">
        <v>59</v>
      </c>
      <c r="J62">
        <v>42</v>
      </c>
      <c r="K62">
        <v>62</v>
      </c>
      <c r="L62">
        <v>56</v>
      </c>
      <c r="M62">
        <v>50</v>
      </c>
      <c r="N62">
        <v>52</v>
      </c>
      <c r="O62">
        <v>52</v>
      </c>
      <c r="P62">
        <v>63</v>
      </c>
      <c r="S62" t="s">
        <v>13</v>
      </c>
      <c r="T62" t="s">
        <v>15</v>
      </c>
      <c r="U62" t="s">
        <v>26</v>
      </c>
      <c r="V62">
        <v>64</v>
      </c>
      <c r="W62">
        <v>57</v>
      </c>
      <c r="X62">
        <v>47</v>
      </c>
      <c r="Y62">
        <v>48</v>
      </c>
      <c r="Z62">
        <v>59</v>
      </c>
      <c r="AA62">
        <v>43</v>
      </c>
      <c r="AB62">
        <v>61</v>
      </c>
      <c r="AC62">
        <v>56</v>
      </c>
      <c r="AD62">
        <v>50</v>
      </c>
      <c r="AE62">
        <v>53</v>
      </c>
      <c r="AF62">
        <v>53</v>
      </c>
      <c r="AG62">
        <v>64</v>
      </c>
      <c r="AI62" t="s">
        <v>26</v>
      </c>
      <c r="AJ62">
        <f t="shared" si="0"/>
        <v>7</v>
      </c>
    </row>
    <row r="63" spans="2:36" x14ac:dyDescent="0.35">
      <c r="B63" t="s">
        <v>17</v>
      </c>
      <c r="C63" t="s">
        <v>14</v>
      </c>
      <c r="D63" t="s">
        <v>43</v>
      </c>
      <c r="E63">
        <v>46</v>
      </c>
      <c r="F63">
        <v>54</v>
      </c>
      <c r="G63">
        <v>55</v>
      </c>
      <c r="H63">
        <v>59</v>
      </c>
      <c r="I63">
        <v>45</v>
      </c>
      <c r="J63">
        <v>63</v>
      </c>
      <c r="K63">
        <v>31</v>
      </c>
      <c r="L63">
        <v>51</v>
      </c>
      <c r="M63">
        <v>58</v>
      </c>
      <c r="N63">
        <v>55</v>
      </c>
      <c r="O63">
        <v>54</v>
      </c>
      <c r="P63">
        <v>46</v>
      </c>
      <c r="S63" t="s">
        <v>16</v>
      </c>
      <c r="T63" t="s">
        <v>14</v>
      </c>
      <c r="U63" t="s">
        <v>26</v>
      </c>
      <c r="V63">
        <v>35</v>
      </c>
      <c r="W63">
        <v>43</v>
      </c>
      <c r="X63">
        <v>53</v>
      </c>
      <c r="Y63">
        <v>51</v>
      </c>
      <c r="Z63">
        <v>40</v>
      </c>
      <c r="AA63">
        <v>56</v>
      </c>
      <c r="AB63">
        <v>38</v>
      </c>
      <c r="AC63">
        <v>44</v>
      </c>
      <c r="AD63">
        <v>49</v>
      </c>
      <c r="AE63">
        <v>47</v>
      </c>
      <c r="AF63">
        <v>47</v>
      </c>
      <c r="AG63">
        <v>35</v>
      </c>
      <c r="AI63" t="s">
        <v>26</v>
      </c>
      <c r="AJ63">
        <f t="shared" si="0"/>
        <v>7</v>
      </c>
    </row>
    <row r="64" spans="2:36" x14ac:dyDescent="0.35">
      <c r="B64" t="s">
        <v>17</v>
      </c>
      <c r="C64" t="s">
        <v>15</v>
      </c>
      <c r="D64" t="s">
        <v>43</v>
      </c>
      <c r="E64">
        <v>54</v>
      </c>
      <c r="F64">
        <v>46</v>
      </c>
      <c r="G64">
        <v>45</v>
      </c>
      <c r="H64">
        <v>41</v>
      </c>
      <c r="I64">
        <v>55</v>
      </c>
      <c r="J64">
        <v>37</v>
      </c>
      <c r="K64">
        <v>69</v>
      </c>
      <c r="L64">
        <v>49</v>
      </c>
      <c r="M64">
        <v>42</v>
      </c>
      <c r="N64">
        <v>45</v>
      </c>
      <c r="O64">
        <v>46</v>
      </c>
      <c r="P64">
        <v>54</v>
      </c>
      <c r="S64" t="s">
        <v>16</v>
      </c>
      <c r="T64" t="s">
        <v>15</v>
      </c>
      <c r="U64" t="s">
        <v>26</v>
      </c>
      <c r="V64">
        <v>65</v>
      </c>
      <c r="W64">
        <v>57</v>
      </c>
      <c r="X64">
        <v>47</v>
      </c>
      <c r="Y64">
        <v>49</v>
      </c>
      <c r="Z64">
        <v>60</v>
      </c>
      <c r="AA64">
        <v>44</v>
      </c>
      <c r="AB64">
        <v>62</v>
      </c>
      <c r="AC64">
        <v>56</v>
      </c>
      <c r="AD64">
        <v>51</v>
      </c>
      <c r="AE64">
        <v>53</v>
      </c>
      <c r="AF64">
        <v>53</v>
      </c>
      <c r="AG64">
        <v>65</v>
      </c>
      <c r="AI64" t="s">
        <v>26</v>
      </c>
      <c r="AJ64">
        <f t="shared" si="0"/>
        <v>7</v>
      </c>
    </row>
    <row r="65" spans="2:36" x14ac:dyDescent="0.35">
      <c r="B65" t="s">
        <v>13</v>
      </c>
      <c r="C65" t="s">
        <v>14</v>
      </c>
      <c r="D65" t="s">
        <v>44</v>
      </c>
      <c r="E65">
        <v>38</v>
      </c>
      <c r="F65">
        <v>46</v>
      </c>
      <c r="G65">
        <v>55</v>
      </c>
      <c r="H65">
        <v>53</v>
      </c>
      <c r="I65">
        <v>42</v>
      </c>
      <c r="J65">
        <v>59</v>
      </c>
      <c r="K65">
        <v>39</v>
      </c>
      <c r="L65">
        <v>46</v>
      </c>
      <c r="M65">
        <v>50</v>
      </c>
      <c r="N65">
        <v>49</v>
      </c>
      <c r="O65">
        <v>49</v>
      </c>
      <c r="P65">
        <v>38</v>
      </c>
      <c r="S65" t="s">
        <v>17</v>
      </c>
      <c r="T65" t="s">
        <v>14</v>
      </c>
      <c r="U65" t="s">
        <v>26</v>
      </c>
      <c r="V65">
        <v>38</v>
      </c>
      <c r="W65">
        <v>46</v>
      </c>
      <c r="X65">
        <v>54</v>
      </c>
      <c r="Y65">
        <v>54</v>
      </c>
      <c r="Z65">
        <v>44</v>
      </c>
      <c r="AA65">
        <v>62</v>
      </c>
      <c r="AB65">
        <v>31</v>
      </c>
      <c r="AC65">
        <v>45</v>
      </c>
      <c r="AD65">
        <v>54</v>
      </c>
      <c r="AE65">
        <v>51</v>
      </c>
      <c r="AF65">
        <v>45</v>
      </c>
      <c r="AG65">
        <v>38</v>
      </c>
      <c r="AI65" t="s">
        <v>26</v>
      </c>
      <c r="AJ65">
        <f t="shared" si="0"/>
        <v>7</v>
      </c>
    </row>
    <row r="66" spans="2:36" x14ac:dyDescent="0.35">
      <c r="B66" t="s">
        <v>13</v>
      </c>
      <c r="C66" t="s">
        <v>15</v>
      </c>
      <c r="D66" t="s">
        <v>44</v>
      </c>
      <c r="E66">
        <v>62</v>
      </c>
      <c r="F66">
        <v>54</v>
      </c>
      <c r="G66">
        <v>45</v>
      </c>
      <c r="H66">
        <v>47</v>
      </c>
      <c r="I66">
        <v>58</v>
      </c>
      <c r="J66">
        <v>41</v>
      </c>
      <c r="K66">
        <v>61</v>
      </c>
      <c r="L66">
        <v>54</v>
      </c>
      <c r="M66">
        <v>50</v>
      </c>
      <c r="N66">
        <v>51</v>
      </c>
      <c r="O66">
        <v>51</v>
      </c>
      <c r="P66">
        <v>62</v>
      </c>
      <c r="S66" t="s">
        <v>17</v>
      </c>
      <c r="T66" t="s">
        <v>15</v>
      </c>
      <c r="U66" t="s">
        <v>26</v>
      </c>
      <c r="V66">
        <v>62</v>
      </c>
      <c r="W66">
        <v>54</v>
      </c>
      <c r="X66">
        <v>46</v>
      </c>
      <c r="Y66">
        <v>46</v>
      </c>
      <c r="Z66">
        <v>56</v>
      </c>
      <c r="AA66">
        <v>38</v>
      </c>
      <c r="AB66">
        <v>69</v>
      </c>
      <c r="AC66">
        <v>55</v>
      </c>
      <c r="AD66">
        <v>46</v>
      </c>
      <c r="AE66">
        <v>49</v>
      </c>
      <c r="AF66">
        <v>55</v>
      </c>
      <c r="AG66">
        <v>62</v>
      </c>
      <c r="AI66" t="s">
        <v>26</v>
      </c>
      <c r="AJ66">
        <f t="shared" si="0"/>
        <v>7</v>
      </c>
    </row>
    <row r="67" spans="2:36" x14ac:dyDescent="0.35">
      <c r="B67" t="s">
        <v>16</v>
      </c>
      <c r="C67" t="s">
        <v>14</v>
      </c>
      <c r="D67" t="s">
        <v>44</v>
      </c>
      <c r="E67">
        <v>38</v>
      </c>
      <c r="F67">
        <v>45</v>
      </c>
      <c r="G67">
        <v>55</v>
      </c>
      <c r="H67">
        <v>53</v>
      </c>
      <c r="I67">
        <v>42</v>
      </c>
      <c r="J67">
        <v>58</v>
      </c>
      <c r="K67">
        <v>38</v>
      </c>
      <c r="L67">
        <v>45</v>
      </c>
      <c r="M67">
        <v>50</v>
      </c>
      <c r="N67">
        <v>49</v>
      </c>
      <c r="O67">
        <v>49</v>
      </c>
      <c r="P67">
        <v>38</v>
      </c>
      <c r="S67" t="s">
        <v>59</v>
      </c>
      <c r="T67" t="s">
        <v>14</v>
      </c>
      <c r="U67" t="s">
        <v>26</v>
      </c>
      <c r="V67">
        <v>36</v>
      </c>
      <c r="W67">
        <v>40</v>
      </c>
      <c r="X67">
        <v>53</v>
      </c>
      <c r="Y67">
        <v>57</v>
      </c>
      <c r="Z67">
        <v>36</v>
      </c>
      <c r="AA67">
        <v>55</v>
      </c>
      <c r="AB67">
        <v>43</v>
      </c>
      <c r="AC67">
        <v>40</v>
      </c>
      <c r="AD67">
        <v>47</v>
      </c>
      <c r="AE67">
        <v>43</v>
      </c>
      <c r="AF67">
        <v>47</v>
      </c>
      <c r="AG67">
        <v>38</v>
      </c>
      <c r="AI67" t="s">
        <v>26</v>
      </c>
      <c r="AJ67">
        <f t="shared" si="0"/>
        <v>7</v>
      </c>
    </row>
    <row r="68" spans="2:36" x14ac:dyDescent="0.35">
      <c r="B68" t="s">
        <v>16</v>
      </c>
      <c r="C68" t="s">
        <v>15</v>
      </c>
      <c r="D68" t="s">
        <v>44</v>
      </c>
      <c r="E68">
        <v>62</v>
      </c>
      <c r="F68">
        <v>55</v>
      </c>
      <c r="G68">
        <v>45</v>
      </c>
      <c r="H68">
        <v>47</v>
      </c>
      <c r="I68">
        <v>58</v>
      </c>
      <c r="J68">
        <v>42</v>
      </c>
      <c r="K68">
        <v>62</v>
      </c>
      <c r="L68">
        <v>55</v>
      </c>
      <c r="M68">
        <v>50</v>
      </c>
      <c r="N68">
        <v>51</v>
      </c>
      <c r="O68">
        <v>51</v>
      </c>
      <c r="P68">
        <v>62</v>
      </c>
      <c r="S68" t="s">
        <v>59</v>
      </c>
      <c r="T68" t="s">
        <v>15</v>
      </c>
      <c r="U68" t="s">
        <v>26</v>
      </c>
      <c r="V68">
        <v>64</v>
      </c>
      <c r="W68">
        <v>60</v>
      </c>
      <c r="X68">
        <v>47</v>
      </c>
      <c r="Y68">
        <v>43</v>
      </c>
      <c r="Z68">
        <v>64</v>
      </c>
      <c r="AA68">
        <v>45</v>
      </c>
      <c r="AB68">
        <v>57</v>
      </c>
      <c r="AC68">
        <v>60</v>
      </c>
      <c r="AD68">
        <v>53</v>
      </c>
      <c r="AE68">
        <v>57</v>
      </c>
      <c r="AF68">
        <v>53</v>
      </c>
      <c r="AG68">
        <v>62</v>
      </c>
      <c r="AI68" t="s">
        <v>26</v>
      </c>
      <c r="AJ68">
        <f t="shared" si="0"/>
        <v>7</v>
      </c>
    </row>
    <row r="69" spans="2:36" x14ac:dyDescent="0.35">
      <c r="B69" t="s">
        <v>17</v>
      </c>
      <c r="C69" t="s">
        <v>14</v>
      </c>
      <c r="D69" t="s">
        <v>44</v>
      </c>
      <c r="E69">
        <v>46</v>
      </c>
      <c r="F69">
        <v>55</v>
      </c>
      <c r="G69">
        <v>56</v>
      </c>
      <c r="H69">
        <v>59</v>
      </c>
      <c r="I69">
        <v>49</v>
      </c>
      <c r="J69">
        <v>65</v>
      </c>
      <c r="K69">
        <v>27</v>
      </c>
      <c r="L69">
        <v>55</v>
      </c>
      <c r="M69">
        <v>58</v>
      </c>
      <c r="N69">
        <v>56</v>
      </c>
      <c r="O69">
        <v>54</v>
      </c>
      <c r="P69">
        <v>46</v>
      </c>
      <c r="S69" t="s">
        <v>13</v>
      </c>
      <c r="T69" t="s">
        <v>14</v>
      </c>
      <c r="U69" t="s">
        <v>27</v>
      </c>
      <c r="V69">
        <v>37</v>
      </c>
      <c r="W69">
        <v>44</v>
      </c>
      <c r="X69">
        <v>54</v>
      </c>
      <c r="Y69">
        <v>52</v>
      </c>
      <c r="Z69">
        <v>41</v>
      </c>
      <c r="AA69">
        <v>57</v>
      </c>
      <c r="AB69">
        <v>39</v>
      </c>
      <c r="AC69">
        <v>45</v>
      </c>
      <c r="AD69">
        <v>50</v>
      </c>
      <c r="AE69">
        <v>48</v>
      </c>
      <c r="AF69">
        <v>48</v>
      </c>
      <c r="AG69">
        <v>37</v>
      </c>
      <c r="AI69" t="s">
        <v>27</v>
      </c>
      <c r="AJ69">
        <f t="shared" si="0"/>
        <v>8</v>
      </c>
    </row>
    <row r="70" spans="2:36" x14ac:dyDescent="0.35">
      <c r="B70" t="s">
        <v>17</v>
      </c>
      <c r="C70" t="s">
        <v>15</v>
      </c>
      <c r="D70" t="s">
        <v>44</v>
      </c>
      <c r="E70">
        <v>54</v>
      </c>
      <c r="F70">
        <v>45</v>
      </c>
      <c r="G70">
        <v>44</v>
      </c>
      <c r="H70">
        <v>41</v>
      </c>
      <c r="I70">
        <v>51</v>
      </c>
      <c r="J70">
        <v>35</v>
      </c>
      <c r="K70">
        <v>73</v>
      </c>
      <c r="L70">
        <v>45</v>
      </c>
      <c r="M70">
        <v>42</v>
      </c>
      <c r="N70">
        <v>44</v>
      </c>
      <c r="O70">
        <v>46</v>
      </c>
      <c r="P70">
        <v>54</v>
      </c>
      <c r="S70" t="s">
        <v>13</v>
      </c>
      <c r="T70" t="s">
        <v>15</v>
      </c>
      <c r="U70" t="s">
        <v>27</v>
      </c>
      <c r="V70">
        <v>63</v>
      </c>
      <c r="W70">
        <v>56</v>
      </c>
      <c r="X70">
        <v>46</v>
      </c>
      <c r="Y70">
        <v>48</v>
      </c>
      <c r="Z70">
        <v>59</v>
      </c>
      <c r="AA70">
        <v>43</v>
      </c>
      <c r="AB70">
        <v>61</v>
      </c>
      <c r="AC70">
        <v>55</v>
      </c>
      <c r="AD70">
        <v>50</v>
      </c>
      <c r="AE70">
        <v>52</v>
      </c>
      <c r="AF70">
        <v>52</v>
      </c>
      <c r="AG70">
        <v>63</v>
      </c>
      <c r="AI70" t="s">
        <v>27</v>
      </c>
      <c r="AJ70">
        <f t="shared" ref="AJ70:AJ108" si="1">ABS(INT(RIGHT(AI70, 2)))</f>
        <v>8</v>
      </c>
    </row>
    <row r="71" spans="2:36" x14ac:dyDescent="0.35">
      <c r="B71" t="s">
        <v>13</v>
      </c>
      <c r="C71" t="s">
        <v>14</v>
      </c>
      <c r="D71" t="s">
        <v>45</v>
      </c>
      <c r="E71">
        <v>38</v>
      </c>
      <c r="F71">
        <v>46</v>
      </c>
      <c r="G71">
        <v>55</v>
      </c>
      <c r="H71">
        <v>54</v>
      </c>
      <c r="I71">
        <v>43</v>
      </c>
      <c r="J71">
        <v>59</v>
      </c>
      <c r="K71">
        <v>39</v>
      </c>
      <c r="L71">
        <v>46</v>
      </c>
      <c r="M71">
        <v>50</v>
      </c>
      <c r="N71">
        <v>49</v>
      </c>
      <c r="O71">
        <v>49</v>
      </c>
      <c r="P71">
        <v>38</v>
      </c>
      <c r="S71" t="s">
        <v>16</v>
      </c>
      <c r="T71" t="s">
        <v>14</v>
      </c>
      <c r="U71" t="s">
        <v>27</v>
      </c>
      <c r="V71">
        <v>36</v>
      </c>
      <c r="W71">
        <v>44</v>
      </c>
      <c r="X71">
        <v>53</v>
      </c>
      <c r="Y71">
        <v>51</v>
      </c>
      <c r="Z71">
        <v>40</v>
      </c>
      <c r="AA71">
        <v>57</v>
      </c>
      <c r="AB71">
        <v>38</v>
      </c>
      <c r="AC71">
        <v>44</v>
      </c>
      <c r="AD71">
        <v>50</v>
      </c>
      <c r="AE71">
        <v>47</v>
      </c>
      <c r="AF71">
        <v>47</v>
      </c>
      <c r="AG71">
        <v>36</v>
      </c>
      <c r="AI71" t="s">
        <v>27</v>
      </c>
      <c r="AJ71">
        <f t="shared" si="1"/>
        <v>8</v>
      </c>
    </row>
    <row r="72" spans="2:36" x14ac:dyDescent="0.35">
      <c r="B72" t="s">
        <v>13</v>
      </c>
      <c r="C72" t="s">
        <v>15</v>
      </c>
      <c r="D72" t="s">
        <v>45</v>
      </c>
      <c r="E72">
        <v>62</v>
      </c>
      <c r="F72">
        <v>54</v>
      </c>
      <c r="G72">
        <v>45</v>
      </c>
      <c r="H72">
        <v>46</v>
      </c>
      <c r="I72">
        <v>57</v>
      </c>
      <c r="J72">
        <v>41</v>
      </c>
      <c r="K72">
        <v>61</v>
      </c>
      <c r="L72">
        <v>54</v>
      </c>
      <c r="M72">
        <v>50</v>
      </c>
      <c r="N72">
        <v>51</v>
      </c>
      <c r="O72">
        <v>51</v>
      </c>
      <c r="P72">
        <v>62</v>
      </c>
      <c r="S72" t="s">
        <v>16</v>
      </c>
      <c r="T72" t="s">
        <v>15</v>
      </c>
      <c r="U72" t="s">
        <v>27</v>
      </c>
      <c r="V72">
        <v>64</v>
      </c>
      <c r="W72">
        <v>56</v>
      </c>
      <c r="X72">
        <v>47</v>
      </c>
      <c r="Y72">
        <v>49</v>
      </c>
      <c r="Z72">
        <v>60</v>
      </c>
      <c r="AA72">
        <v>43</v>
      </c>
      <c r="AB72">
        <v>62</v>
      </c>
      <c r="AC72">
        <v>56</v>
      </c>
      <c r="AD72">
        <v>50</v>
      </c>
      <c r="AE72">
        <v>53</v>
      </c>
      <c r="AF72">
        <v>53</v>
      </c>
      <c r="AG72">
        <v>64</v>
      </c>
      <c r="AI72" t="s">
        <v>27</v>
      </c>
      <c r="AJ72">
        <f t="shared" si="1"/>
        <v>8</v>
      </c>
    </row>
    <row r="73" spans="2:36" x14ac:dyDescent="0.35">
      <c r="B73" t="s">
        <v>16</v>
      </c>
      <c r="C73" t="s">
        <v>14</v>
      </c>
      <c r="D73" t="s">
        <v>45</v>
      </c>
      <c r="E73">
        <v>38</v>
      </c>
      <c r="F73">
        <v>45</v>
      </c>
      <c r="G73">
        <v>55</v>
      </c>
      <c r="H73">
        <v>53</v>
      </c>
      <c r="I73">
        <v>42</v>
      </c>
      <c r="J73">
        <v>58</v>
      </c>
      <c r="K73">
        <v>39</v>
      </c>
      <c r="L73">
        <v>46</v>
      </c>
      <c r="M73">
        <v>50</v>
      </c>
      <c r="N73">
        <v>49</v>
      </c>
      <c r="O73">
        <v>49</v>
      </c>
      <c r="P73">
        <v>38</v>
      </c>
      <c r="S73" t="s">
        <v>17</v>
      </c>
      <c r="T73" t="s">
        <v>14</v>
      </c>
      <c r="U73" t="s">
        <v>27</v>
      </c>
      <c r="V73">
        <v>44</v>
      </c>
      <c r="W73">
        <v>49</v>
      </c>
      <c r="X73">
        <v>52</v>
      </c>
      <c r="Y73">
        <v>54</v>
      </c>
      <c r="Z73">
        <v>46</v>
      </c>
      <c r="AA73">
        <v>63</v>
      </c>
      <c r="AB73">
        <v>31</v>
      </c>
      <c r="AC73">
        <v>49</v>
      </c>
      <c r="AD73">
        <v>58</v>
      </c>
      <c r="AE73">
        <v>55</v>
      </c>
      <c r="AF73">
        <v>52</v>
      </c>
      <c r="AG73">
        <v>44</v>
      </c>
      <c r="AI73" t="s">
        <v>27</v>
      </c>
      <c r="AJ73">
        <f t="shared" si="1"/>
        <v>8</v>
      </c>
    </row>
    <row r="74" spans="2:36" x14ac:dyDescent="0.35">
      <c r="B74" t="s">
        <v>16</v>
      </c>
      <c r="C74" t="s">
        <v>15</v>
      </c>
      <c r="D74" t="s">
        <v>45</v>
      </c>
      <c r="E74">
        <v>62</v>
      </c>
      <c r="F74">
        <v>55</v>
      </c>
      <c r="G74">
        <v>45</v>
      </c>
      <c r="H74">
        <v>47</v>
      </c>
      <c r="I74">
        <v>58</v>
      </c>
      <c r="J74">
        <v>42</v>
      </c>
      <c r="K74">
        <v>61</v>
      </c>
      <c r="L74">
        <v>54</v>
      </c>
      <c r="M74">
        <v>50</v>
      </c>
      <c r="N74">
        <v>51</v>
      </c>
      <c r="O74">
        <v>51</v>
      </c>
      <c r="P74">
        <v>62</v>
      </c>
      <c r="S74" t="s">
        <v>17</v>
      </c>
      <c r="T74" t="s">
        <v>15</v>
      </c>
      <c r="U74" t="s">
        <v>27</v>
      </c>
      <c r="V74">
        <v>56</v>
      </c>
      <c r="W74">
        <v>51</v>
      </c>
      <c r="X74">
        <v>48</v>
      </c>
      <c r="Y74">
        <v>46</v>
      </c>
      <c r="Z74">
        <v>54</v>
      </c>
      <c r="AA74">
        <v>37</v>
      </c>
      <c r="AB74">
        <v>69</v>
      </c>
      <c r="AC74">
        <v>51</v>
      </c>
      <c r="AD74">
        <v>42</v>
      </c>
      <c r="AE74">
        <v>45</v>
      </c>
      <c r="AF74">
        <v>48</v>
      </c>
      <c r="AG74">
        <v>56</v>
      </c>
      <c r="AI74" t="s">
        <v>27</v>
      </c>
      <c r="AJ74">
        <f t="shared" si="1"/>
        <v>8</v>
      </c>
    </row>
    <row r="75" spans="2:36" x14ac:dyDescent="0.35">
      <c r="B75" t="s">
        <v>17</v>
      </c>
      <c r="C75" t="s">
        <v>14</v>
      </c>
      <c r="D75" t="s">
        <v>45</v>
      </c>
      <c r="E75">
        <v>48</v>
      </c>
      <c r="F75">
        <v>54</v>
      </c>
      <c r="G75">
        <v>58</v>
      </c>
      <c r="H75">
        <v>61</v>
      </c>
      <c r="I75">
        <v>51</v>
      </c>
      <c r="J75">
        <v>61</v>
      </c>
      <c r="K75">
        <v>28</v>
      </c>
      <c r="L75">
        <v>55</v>
      </c>
      <c r="M75">
        <v>51</v>
      </c>
      <c r="N75">
        <v>51</v>
      </c>
      <c r="O75">
        <v>54</v>
      </c>
      <c r="P75">
        <v>48</v>
      </c>
      <c r="S75" t="s">
        <v>59</v>
      </c>
      <c r="T75" t="s">
        <v>14</v>
      </c>
      <c r="U75" t="s">
        <v>27</v>
      </c>
      <c r="V75">
        <v>40</v>
      </c>
      <c r="W75">
        <v>64</v>
      </c>
      <c r="X75">
        <v>57</v>
      </c>
      <c r="Y75">
        <v>51</v>
      </c>
      <c r="Z75">
        <v>51</v>
      </c>
      <c r="AA75">
        <v>55</v>
      </c>
      <c r="AB75">
        <v>36</v>
      </c>
      <c r="AC75">
        <v>60</v>
      </c>
      <c r="AD75">
        <v>64</v>
      </c>
      <c r="AE75">
        <v>60</v>
      </c>
      <c r="AF75">
        <v>53</v>
      </c>
      <c r="AG75">
        <v>43</v>
      </c>
      <c r="AI75" t="s">
        <v>27</v>
      </c>
      <c r="AJ75">
        <f t="shared" si="1"/>
        <v>8</v>
      </c>
    </row>
    <row r="76" spans="2:36" x14ac:dyDescent="0.35">
      <c r="B76" t="s">
        <v>17</v>
      </c>
      <c r="C76" t="s">
        <v>15</v>
      </c>
      <c r="D76" t="s">
        <v>45</v>
      </c>
      <c r="E76">
        <v>52</v>
      </c>
      <c r="F76">
        <v>46</v>
      </c>
      <c r="G76">
        <v>42</v>
      </c>
      <c r="H76">
        <v>39</v>
      </c>
      <c r="I76">
        <v>49</v>
      </c>
      <c r="J76">
        <v>39</v>
      </c>
      <c r="K76">
        <v>72</v>
      </c>
      <c r="L76">
        <v>45</v>
      </c>
      <c r="M76">
        <v>49</v>
      </c>
      <c r="N76">
        <v>49</v>
      </c>
      <c r="O76">
        <v>46</v>
      </c>
      <c r="P76">
        <v>52</v>
      </c>
      <c r="S76" t="s">
        <v>59</v>
      </c>
      <c r="T76" t="s">
        <v>15</v>
      </c>
      <c r="U76" t="s">
        <v>27</v>
      </c>
      <c r="V76">
        <v>60</v>
      </c>
      <c r="W76">
        <v>36</v>
      </c>
      <c r="X76">
        <v>43</v>
      </c>
      <c r="Y76">
        <v>49</v>
      </c>
      <c r="Z76">
        <v>49</v>
      </c>
      <c r="AA76">
        <v>45</v>
      </c>
      <c r="AB76">
        <v>64</v>
      </c>
      <c r="AC76">
        <v>40</v>
      </c>
      <c r="AD76">
        <v>36</v>
      </c>
      <c r="AE76">
        <v>40</v>
      </c>
      <c r="AF76">
        <v>47</v>
      </c>
      <c r="AG76">
        <v>57</v>
      </c>
      <c r="AI76" t="s">
        <v>27</v>
      </c>
      <c r="AJ76">
        <f t="shared" si="1"/>
        <v>8</v>
      </c>
    </row>
    <row r="77" spans="2:36" x14ac:dyDescent="0.35">
      <c r="B77" t="s">
        <v>13</v>
      </c>
      <c r="C77" t="s">
        <v>14</v>
      </c>
      <c r="D77" t="s">
        <v>46</v>
      </c>
      <c r="E77">
        <v>38</v>
      </c>
      <c r="F77">
        <v>46</v>
      </c>
      <c r="G77">
        <v>55</v>
      </c>
      <c r="H77">
        <v>54</v>
      </c>
      <c r="I77">
        <v>43</v>
      </c>
      <c r="J77">
        <v>59</v>
      </c>
      <c r="K77">
        <v>39</v>
      </c>
      <c r="L77">
        <v>47</v>
      </c>
      <c r="M77">
        <v>51</v>
      </c>
      <c r="N77">
        <v>50</v>
      </c>
      <c r="O77">
        <v>50</v>
      </c>
      <c r="P77">
        <v>38</v>
      </c>
      <c r="S77" t="s">
        <v>13</v>
      </c>
      <c r="T77" t="s">
        <v>14</v>
      </c>
      <c r="U77" t="s">
        <v>28</v>
      </c>
      <c r="V77">
        <v>37</v>
      </c>
      <c r="W77">
        <v>45</v>
      </c>
      <c r="X77">
        <v>54</v>
      </c>
      <c r="Y77">
        <v>52</v>
      </c>
      <c r="Z77">
        <v>41</v>
      </c>
      <c r="AA77">
        <v>58</v>
      </c>
      <c r="AB77">
        <v>39</v>
      </c>
      <c r="AC77">
        <v>45</v>
      </c>
      <c r="AD77">
        <v>50</v>
      </c>
      <c r="AE77">
        <v>48</v>
      </c>
      <c r="AF77">
        <v>48</v>
      </c>
      <c r="AG77">
        <v>37</v>
      </c>
      <c r="AI77" t="s">
        <v>28</v>
      </c>
      <c r="AJ77">
        <f t="shared" si="1"/>
        <v>9</v>
      </c>
    </row>
    <row r="78" spans="2:36" x14ac:dyDescent="0.35">
      <c r="B78" t="s">
        <v>13</v>
      </c>
      <c r="C78" t="s">
        <v>15</v>
      </c>
      <c r="D78" t="s">
        <v>46</v>
      </c>
      <c r="E78">
        <v>62</v>
      </c>
      <c r="F78">
        <v>54</v>
      </c>
      <c r="G78">
        <v>45</v>
      </c>
      <c r="H78">
        <v>46</v>
      </c>
      <c r="I78">
        <v>57</v>
      </c>
      <c r="J78">
        <v>41</v>
      </c>
      <c r="K78">
        <v>61</v>
      </c>
      <c r="L78">
        <v>53</v>
      </c>
      <c r="M78">
        <v>49</v>
      </c>
      <c r="N78">
        <v>50</v>
      </c>
      <c r="O78">
        <v>50</v>
      </c>
      <c r="P78">
        <v>62</v>
      </c>
      <c r="S78" t="s">
        <v>13</v>
      </c>
      <c r="T78" t="s">
        <v>15</v>
      </c>
      <c r="U78" t="s">
        <v>28</v>
      </c>
      <c r="V78">
        <v>63</v>
      </c>
      <c r="W78">
        <v>55</v>
      </c>
      <c r="X78">
        <v>46</v>
      </c>
      <c r="Y78">
        <v>48</v>
      </c>
      <c r="Z78">
        <v>59</v>
      </c>
      <c r="AA78">
        <v>42</v>
      </c>
      <c r="AB78">
        <v>61</v>
      </c>
      <c r="AC78">
        <v>55</v>
      </c>
      <c r="AD78">
        <v>50</v>
      </c>
      <c r="AE78">
        <v>52</v>
      </c>
      <c r="AF78">
        <v>52</v>
      </c>
      <c r="AG78">
        <v>63</v>
      </c>
      <c r="AI78" t="s">
        <v>28</v>
      </c>
      <c r="AJ78">
        <f t="shared" si="1"/>
        <v>9</v>
      </c>
    </row>
    <row r="79" spans="2:36" x14ac:dyDescent="0.35">
      <c r="B79" t="s">
        <v>16</v>
      </c>
      <c r="C79" t="s">
        <v>14</v>
      </c>
      <c r="D79" t="s">
        <v>46</v>
      </c>
      <c r="E79">
        <v>38</v>
      </c>
      <c r="F79">
        <v>46</v>
      </c>
      <c r="G79">
        <v>55</v>
      </c>
      <c r="H79">
        <v>53</v>
      </c>
      <c r="I79">
        <v>42</v>
      </c>
      <c r="J79">
        <v>58</v>
      </c>
      <c r="K79">
        <v>39</v>
      </c>
      <c r="L79">
        <v>47</v>
      </c>
      <c r="M79">
        <v>51</v>
      </c>
      <c r="N79">
        <v>49</v>
      </c>
      <c r="O79">
        <v>49</v>
      </c>
      <c r="P79">
        <v>38</v>
      </c>
      <c r="S79" t="s">
        <v>16</v>
      </c>
      <c r="T79" t="s">
        <v>14</v>
      </c>
      <c r="U79" t="s">
        <v>28</v>
      </c>
      <c r="V79">
        <v>37</v>
      </c>
      <c r="W79">
        <v>44</v>
      </c>
      <c r="X79">
        <v>54</v>
      </c>
      <c r="Y79">
        <v>52</v>
      </c>
      <c r="Z79">
        <v>41</v>
      </c>
      <c r="AA79">
        <v>58</v>
      </c>
      <c r="AB79">
        <v>38</v>
      </c>
      <c r="AC79">
        <v>44</v>
      </c>
      <c r="AD79">
        <v>50</v>
      </c>
      <c r="AE79">
        <v>48</v>
      </c>
      <c r="AF79">
        <v>48</v>
      </c>
      <c r="AG79">
        <v>37</v>
      </c>
      <c r="AI79" t="s">
        <v>28</v>
      </c>
      <c r="AJ79">
        <f t="shared" si="1"/>
        <v>9</v>
      </c>
    </row>
    <row r="80" spans="2:36" x14ac:dyDescent="0.35">
      <c r="B80" t="s">
        <v>16</v>
      </c>
      <c r="C80" t="s">
        <v>15</v>
      </c>
      <c r="D80" t="s">
        <v>46</v>
      </c>
      <c r="E80">
        <v>62</v>
      </c>
      <c r="F80">
        <v>54</v>
      </c>
      <c r="G80">
        <v>45</v>
      </c>
      <c r="H80">
        <v>47</v>
      </c>
      <c r="I80">
        <v>58</v>
      </c>
      <c r="J80">
        <v>42</v>
      </c>
      <c r="K80">
        <v>61</v>
      </c>
      <c r="L80">
        <v>53</v>
      </c>
      <c r="M80">
        <v>49</v>
      </c>
      <c r="N80">
        <v>51</v>
      </c>
      <c r="O80">
        <v>51</v>
      </c>
      <c r="P80">
        <v>62</v>
      </c>
      <c r="S80" t="s">
        <v>16</v>
      </c>
      <c r="T80" t="s">
        <v>15</v>
      </c>
      <c r="U80" t="s">
        <v>28</v>
      </c>
      <c r="V80">
        <v>63</v>
      </c>
      <c r="W80">
        <v>56</v>
      </c>
      <c r="X80">
        <v>46</v>
      </c>
      <c r="Y80">
        <v>48</v>
      </c>
      <c r="Z80">
        <v>59</v>
      </c>
      <c r="AA80">
        <v>42</v>
      </c>
      <c r="AB80">
        <v>62</v>
      </c>
      <c r="AC80">
        <v>56</v>
      </c>
      <c r="AD80">
        <v>50</v>
      </c>
      <c r="AE80">
        <v>52</v>
      </c>
      <c r="AF80">
        <v>52</v>
      </c>
      <c r="AG80">
        <v>63</v>
      </c>
      <c r="AI80" t="s">
        <v>28</v>
      </c>
      <c r="AJ80">
        <f t="shared" si="1"/>
        <v>9</v>
      </c>
    </row>
    <row r="81" spans="2:36" x14ac:dyDescent="0.35">
      <c r="B81" t="s">
        <v>17</v>
      </c>
      <c r="C81" t="s">
        <v>14</v>
      </c>
      <c r="D81" t="s">
        <v>46</v>
      </c>
      <c r="E81">
        <v>41</v>
      </c>
      <c r="F81">
        <v>54</v>
      </c>
      <c r="G81">
        <v>56</v>
      </c>
      <c r="H81">
        <v>59</v>
      </c>
      <c r="I81">
        <v>49</v>
      </c>
      <c r="J81">
        <v>62</v>
      </c>
      <c r="K81">
        <v>32</v>
      </c>
      <c r="L81">
        <v>55</v>
      </c>
      <c r="M81">
        <v>52</v>
      </c>
      <c r="N81">
        <v>55</v>
      </c>
      <c r="O81">
        <v>49</v>
      </c>
      <c r="P81">
        <v>41</v>
      </c>
      <c r="S81" t="s">
        <v>17</v>
      </c>
      <c r="T81" t="s">
        <v>14</v>
      </c>
      <c r="U81" t="s">
        <v>28</v>
      </c>
      <c r="V81">
        <v>46</v>
      </c>
      <c r="W81">
        <v>54</v>
      </c>
      <c r="X81">
        <v>55</v>
      </c>
      <c r="Y81">
        <v>59</v>
      </c>
      <c r="Z81">
        <v>45</v>
      </c>
      <c r="AA81">
        <v>63</v>
      </c>
      <c r="AB81">
        <v>31</v>
      </c>
      <c r="AC81">
        <v>51</v>
      </c>
      <c r="AD81">
        <v>58</v>
      </c>
      <c r="AE81">
        <v>55</v>
      </c>
      <c r="AF81">
        <v>54</v>
      </c>
      <c r="AG81">
        <v>46</v>
      </c>
      <c r="AI81" t="s">
        <v>28</v>
      </c>
      <c r="AJ81">
        <f t="shared" si="1"/>
        <v>9</v>
      </c>
    </row>
    <row r="82" spans="2:36" x14ac:dyDescent="0.35">
      <c r="B82" t="s">
        <v>17</v>
      </c>
      <c r="C82" t="s">
        <v>15</v>
      </c>
      <c r="D82" t="s">
        <v>46</v>
      </c>
      <c r="E82">
        <v>59</v>
      </c>
      <c r="F82">
        <v>46</v>
      </c>
      <c r="G82">
        <v>44</v>
      </c>
      <c r="H82">
        <v>41</v>
      </c>
      <c r="I82">
        <v>51</v>
      </c>
      <c r="J82">
        <v>38</v>
      </c>
      <c r="K82">
        <v>68</v>
      </c>
      <c r="L82">
        <v>45</v>
      </c>
      <c r="M82">
        <v>48</v>
      </c>
      <c r="N82">
        <v>45</v>
      </c>
      <c r="O82">
        <v>51</v>
      </c>
      <c r="P82">
        <v>59</v>
      </c>
      <c r="S82" t="s">
        <v>17</v>
      </c>
      <c r="T82" t="s">
        <v>15</v>
      </c>
      <c r="U82" t="s">
        <v>28</v>
      </c>
      <c r="V82">
        <v>54</v>
      </c>
      <c r="W82">
        <v>46</v>
      </c>
      <c r="X82">
        <v>45</v>
      </c>
      <c r="Y82">
        <v>41</v>
      </c>
      <c r="Z82">
        <v>55</v>
      </c>
      <c r="AA82">
        <v>37</v>
      </c>
      <c r="AB82">
        <v>69</v>
      </c>
      <c r="AC82">
        <v>49</v>
      </c>
      <c r="AD82">
        <v>42</v>
      </c>
      <c r="AE82">
        <v>45</v>
      </c>
      <c r="AF82">
        <v>46</v>
      </c>
      <c r="AG82">
        <v>54</v>
      </c>
      <c r="AI82" t="s">
        <v>28</v>
      </c>
      <c r="AJ82">
        <f t="shared" si="1"/>
        <v>9</v>
      </c>
    </row>
    <row r="83" spans="2:36" x14ac:dyDescent="0.35">
      <c r="S83" t="s">
        <v>59</v>
      </c>
      <c r="T83" t="s">
        <v>14</v>
      </c>
      <c r="U83" t="s">
        <v>28</v>
      </c>
      <c r="V83">
        <v>36</v>
      </c>
      <c r="W83">
        <v>60</v>
      </c>
      <c r="X83">
        <v>53</v>
      </c>
      <c r="Y83">
        <v>45</v>
      </c>
      <c r="Z83">
        <v>47</v>
      </c>
      <c r="AA83">
        <v>60</v>
      </c>
      <c r="AB83">
        <v>40</v>
      </c>
      <c r="AC83">
        <v>57</v>
      </c>
      <c r="AD83">
        <v>62</v>
      </c>
      <c r="AE83">
        <v>64</v>
      </c>
      <c r="AF83">
        <v>43</v>
      </c>
      <c r="AG83">
        <v>36</v>
      </c>
      <c r="AI83" t="s">
        <v>28</v>
      </c>
      <c r="AJ83">
        <f t="shared" si="1"/>
        <v>9</v>
      </c>
    </row>
    <row r="84" spans="2:36" x14ac:dyDescent="0.35">
      <c r="S84" t="s">
        <v>59</v>
      </c>
      <c r="T84" t="s">
        <v>15</v>
      </c>
      <c r="U84" t="s">
        <v>28</v>
      </c>
      <c r="V84">
        <v>64</v>
      </c>
      <c r="W84">
        <v>40</v>
      </c>
      <c r="X84">
        <v>47</v>
      </c>
      <c r="Y84">
        <v>55</v>
      </c>
      <c r="Z84">
        <v>53</v>
      </c>
      <c r="AA84">
        <v>40</v>
      </c>
      <c r="AB84">
        <v>60</v>
      </c>
      <c r="AC84">
        <v>43</v>
      </c>
      <c r="AD84">
        <v>38</v>
      </c>
      <c r="AE84">
        <v>36</v>
      </c>
      <c r="AF84">
        <v>57</v>
      </c>
      <c r="AG84">
        <v>64</v>
      </c>
      <c r="AI84" t="s">
        <v>28</v>
      </c>
      <c r="AJ84">
        <f t="shared" si="1"/>
        <v>9</v>
      </c>
    </row>
    <row r="85" spans="2:36" x14ac:dyDescent="0.35">
      <c r="S85" t="s">
        <v>13</v>
      </c>
      <c r="T85" t="s">
        <v>14</v>
      </c>
      <c r="U85" t="s">
        <v>29</v>
      </c>
      <c r="V85">
        <v>38</v>
      </c>
      <c r="W85">
        <v>46</v>
      </c>
      <c r="X85">
        <v>55</v>
      </c>
      <c r="Y85">
        <v>53</v>
      </c>
      <c r="Z85">
        <v>42</v>
      </c>
      <c r="AA85">
        <v>59</v>
      </c>
      <c r="AB85">
        <v>39</v>
      </c>
      <c r="AC85">
        <v>46</v>
      </c>
      <c r="AD85">
        <v>50</v>
      </c>
      <c r="AE85">
        <v>49</v>
      </c>
      <c r="AF85">
        <v>49</v>
      </c>
      <c r="AG85">
        <v>38</v>
      </c>
      <c r="AI85" t="s">
        <v>29</v>
      </c>
      <c r="AJ85">
        <f t="shared" si="1"/>
        <v>10</v>
      </c>
    </row>
    <row r="86" spans="2:36" x14ac:dyDescent="0.35">
      <c r="S86" t="s">
        <v>13</v>
      </c>
      <c r="T86" t="s">
        <v>15</v>
      </c>
      <c r="U86" t="s">
        <v>29</v>
      </c>
      <c r="V86">
        <v>62</v>
      </c>
      <c r="W86">
        <v>54</v>
      </c>
      <c r="X86">
        <v>45</v>
      </c>
      <c r="Y86">
        <v>47</v>
      </c>
      <c r="Z86">
        <v>58</v>
      </c>
      <c r="AA86">
        <v>41</v>
      </c>
      <c r="AB86">
        <v>61</v>
      </c>
      <c r="AC86">
        <v>54</v>
      </c>
      <c r="AD86">
        <v>50</v>
      </c>
      <c r="AE86">
        <v>51</v>
      </c>
      <c r="AF86">
        <v>51</v>
      </c>
      <c r="AG86">
        <v>62</v>
      </c>
      <c r="AI86" t="s">
        <v>29</v>
      </c>
      <c r="AJ86">
        <f t="shared" si="1"/>
        <v>10</v>
      </c>
    </row>
    <row r="87" spans="2:36" x14ac:dyDescent="0.35">
      <c r="S87" t="s">
        <v>16</v>
      </c>
      <c r="T87" t="s">
        <v>14</v>
      </c>
      <c r="U87" t="s">
        <v>29</v>
      </c>
      <c r="V87">
        <v>38</v>
      </c>
      <c r="W87">
        <v>45</v>
      </c>
      <c r="X87">
        <v>55</v>
      </c>
      <c r="Y87">
        <v>53</v>
      </c>
      <c r="Z87">
        <v>42</v>
      </c>
      <c r="AA87">
        <v>58</v>
      </c>
      <c r="AB87">
        <v>38</v>
      </c>
      <c r="AC87">
        <v>45</v>
      </c>
      <c r="AD87">
        <v>50</v>
      </c>
      <c r="AE87">
        <v>49</v>
      </c>
      <c r="AF87">
        <v>49</v>
      </c>
      <c r="AG87">
        <v>38</v>
      </c>
      <c r="AI87" t="s">
        <v>29</v>
      </c>
      <c r="AJ87">
        <f t="shared" si="1"/>
        <v>10</v>
      </c>
    </row>
    <row r="88" spans="2:36" x14ac:dyDescent="0.35">
      <c r="S88" t="s">
        <v>16</v>
      </c>
      <c r="T88" t="s">
        <v>15</v>
      </c>
      <c r="U88" t="s">
        <v>29</v>
      </c>
      <c r="V88">
        <v>62</v>
      </c>
      <c r="W88">
        <v>55</v>
      </c>
      <c r="X88">
        <v>45</v>
      </c>
      <c r="Y88">
        <v>47</v>
      </c>
      <c r="Z88">
        <v>58</v>
      </c>
      <c r="AA88">
        <v>42</v>
      </c>
      <c r="AB88">
        <v>62</v>
      </c>
      <c r="AC88">
        <v>55</v>
      </c>
      <c r="AD88">
        <v>50</v>
      </c>
      <c r="AE88">
        <v>51</v>
      </c>
      <c r="AF88">
        <v>51</v>
      </c>
      <c r="AG88">
        <v>62</v>
      </c>
      <c r="AI88" t="s">
        <v>29</v>
      </c>
      <c r="AJ88">
        <f t="shared" si="1"/>
        <v>10</v>
      </c>
    </row>
    <row r="89" spans="2:36" x14ac:dyDescent="0.35">
      <c r="S89" t="s">
        <v>17</v>
      </c>
      <c r="T89" t="s">
        <v>14</v>
      </c>
      <c r="U89" t="s">
        <v>29</v>
      </c>
      <c r="V89">
        <v>46</v>
      </c>
      <c r="W89">
        <v>55</v>
      </c>
      <c r="X89">
        <v>56</v>
      </c>
      <c r="Y89">
        <v>59</v>
      </c>
      <c r="Z89">
        <v>49</v>
      </c>
      <c r="AA89">
        <v>65</v>
      </c>
      <c r="AB89">
        <v>27</v>
      </c>
      <c r="AC89">
        <v>55</v>
      </c>
      <c r="AD89">
        <v>58</v>
      </c>
      <c r="AE89">
        <v>56</v>
      </c>
      <c r="AF89">
        <v>54</v>
      </c>
      <c r="AG89">
        <v>46</v>
      </c>
      <c r="AI89" t="s">
        <v>29</v>
      </c>
      <c r="AJ89">
        <f t="shared" si="1"/>
        <v>10</v>
      </c>
    </row>
    <row r="90" spans="2:36" x14ac:dyDescent="0.35">
      <c r="S90" t="s">
        <v>17</v>
      </c>
      <c r="T90" t="s">
        <v>15</v>
      </c>
      <c r="U90" t="s">
        <v>29</v>
      </c>
      <c r="V90">
        <v>54</v>
      </c>
      <c r="W90">
        <v>45</v>
      </c>
      <c r="X90">
        <v>44</v>
      </c>
      <c r="Y90">
        <v>41</v>
      </c>
      <c r="Z90">
        <v>51</v>
      </c>
      <c r="AA90">
        <v>35</v>
      </c>
      <c r="AB90">
        <v>73</v>
      </c>
      <c r="AC90">
        <v>45</v>
      </c>
      <c r="AD90">
        <v>42</v>
      </c>
      <c r="AE90">
        <v>44</v>
      </c>
      <c r="AF90">
        <v>46</v>
      </c>
      <c r="AG90">
        <v>54</v>
      </c>
      <c r="AI90" t="s">
        <v>29</v>
      </c>
      <c r="AJ90">
        <f t="shared" si="1"/>
        <v>10</v>
      </c>
    </row>
    <row r="91" spans="2:36" x14ac:dyDescent="0.35">
      <c r="S91" t="s">
        <v>59</v>
      </c>
      <c r="T91" t="s">
        <v>14</v>
      </c>
      <c r="U91" t="s">
        <v>29</v>
      </c>
      <c r="V91">
        <v>38</v>
      </c>
      <c r="W91">
        <v>45</v>
      </c>
      <c r="X91">
        <v>45</v>
      </c>
      <c r="Y91">
        <v>45</v>
      </c>
      <c r="Z91">
        <v>38</v>
      </c>
      <c r="AA91">
        <v>62</v>
      </c>
      <c r="AB91">
        <v>38</v>
      </c>
      <c r="AC91">
        <v>43</v>
      </c>
      <c r="AD91">
        <v>53</v>
      </c>
      <c r="AE91">
        <v>49</v>
      </c>
      <c r="AF91">
        <v>45</v>
      </c>
      <c r="AG91">
        <v>38</v>
      </c>
      <c r="AI91" t="s">
        <v>29</v>
      </c>
      <c r="AJ91">
        <f t="shared" si="1"/>
        <v>10</v>
      </c>
    </row>
    <row r="92" spans="2:36" x14ac:dyDescent="0.35">
      <c r="S92" t="s">
        <v>59</v>
      </c>
      <c r="T92" t="s">
        <v>15</v>
      </c>
      <c r="U92" t="s">
        <v>29</v>
      </c>
      <c r="V92">
        <v>62</v>
      </c>
      <c r="W92">
        <v>55</v>
      </c>
      <c r="X92">
        <v>55</v>
      </c>
      <c r="Y92">
        <v>55</v>
      </c>
      <c r="Z92">
        <v>62</v>
      </c>
      <c r="AA92">
        <v>38</v>
      </c>
      <c r="AB92">
        <v>62</v>
      </c>
      <c r="AC92">
        <v>57</v>
      </c>
      <c r="AD92">
        <v>47</v>
      </c>
      <c r="AE92">
        <v>51</v>
      </c>
      <c r="AF92">
        <v>55</v>
      </c>
      <c r="AG92">
        <v>62</v>
      </c>
      <c r="AI92" t="s">
        <v>29</v>
      </c>
      <c r="AJ92">
        <f t="shared" si="1"/>
        <v>10</v>
      </c>
    </row>
    <row r="93" spans="2:36" x14ac:dyDescent="0.35">
      <c r="S93" t="s">
        <v>13</v>
      </c>
      <c r="T93" t="s">
        <v>14</v>
      </c>
      <c r="U93" t="s">
        <v>30</v>
      </c>
      <c r="V93">
        <v>38</v>
      </c>
      <c r="W93">
        <v>46</v>
      </c>
      <c r="X93">
        <v>55</v>
      </c>
      <c r="Y93">
        <v>54</v>
      </c>
      <c r="Z93">
        <v>43</v>
      </c>
      <c r="AA93">
        <v>59</v>
      </c>
      <c r="AB93">
        <v>39</v>
      </c>
      <c r="AC93">
        <v>46</v>
      </c>
      <c r="AD93">
        <v>50</v>
      </c>
      <c r="AE93">
        <v>49</v>
      </c>
      <c r="AF93">
        <v>49</v>
      </c>
      <c r="AG93">
        <v>38</v>
      </c>
      <c r="AI93" t="s">
        <v>30</v>
      </c>
      <c r="AJ93">
        <f t="shared" si="1"/>
        <v>11</v>
      </c>
    </row>
    <row r="94" spans="2:36" x14ac:dyDescent="0.35">
      <c r="S94" t="s">
        <v>13</v>
      </c>
      <c r="T94" t="s">
        <v>15</v>
      </c>
      <c r="U94" t="s">
        <v>30</v>
      </c>
      <c r="V94">
        <v>62</v>
      </c>
      <c r="W94">
        <v>54</v>
      </c>
      <c r="X94">
        <v>45</v>
      </c>
      <c r="Y94">
        <v>46</v>
      </c>
      <c r="Z94">
        <v>57</v>
      </c>
      <c r="AA94">
        <v>41</v>
      </c>
      <c r="AB94">
        <v>61</v>
      </c>
      <c r="AC94">
        <v>54</v>
      </c>
      <c r="AD94">
        <v>50</v>
      </c>
      <c r="AE94">
        <v>51</v>
      </c>
      <c r="AF94">
        <v>51</v>
      </c>
      <c r="AG94">
        <v>62</v>
      </c>
      <c r="AI94" t="s">
        <v>30</v>
      </c>
      <c r="AJ94">
        <f t="shared" si="1"/>
        <v>11</v>
      </c>
    </row>
    <row r="95" spans="2:36" x14ac:dyDescent="0.35">
      <c r="S95" t="s">
        <v>16</v>
      </c>
      <c r="T95" t="s">
        <v>14</v>
      </c>
      <c r="U95" t="s">
        <v>30</v>
      </c>
      <c r="V95">
        <v>38</v>
      </c>
      <c r="W95">
        <v>45</v>
      </c>
      <c r="X95">
        <v>55</v>
      </c>
      <c r="Y95">
        <v>53</v>
      </c>
      <c r="Z95">
        <v>42</v>
      </c>
      <c r="AA95">
        <v>58</v>
      </c>
      <c r="AB95">
        <v>39</v>
      </c>
      <c r="AC95">
        <v>46</v>
      </c>
      <c r="AD95">
        <v>50</v>
      </c>
      <c r="AE95">
        <v>49</v>
      </c>
      <c r="AF95">
        <v>49</v>
      </c>
      <c r="AG95">
        <v>38</v>
      </c>
      <c r="AI95" t="s">
        <v>30</v>
      </c>
      <c r="AJ95">
        <f t="shared" si="1"/>
        <v>11</v>
      </c>
    </row>
    <row r="96" spans="2:36" x14ac:dyDescent="0.35">
      <c r="S96" t="s">
        <v>16</v>
      </c>
      <c r="T96" t="s">
        <v>15</v>
      </c>
      <c r="U96" t="s">
        <v>30</v>
      </c>
      <c r="V96">
        <v>62</v>
      </c>
      <c r="W96">
        <v>55</v>
      </c>
      <c r="X96">
        <v>45</v>
      </c>
      <c r="Y96">
        <v>47</v>
      </c>
      <c r="Z96">
        <v>58</v>
      </c>
      <c r="AA96">
        <v>42</v>
      </c>
      <c r="AB96">
        <v>61</v>
      </c>
      <c r="AC96">
        <v>54</v>
      </c>
      <c r="AD96">
        <v>50</v>
      </c>
      <c r="AE96">
        <v>51</v>
      </c>
      <c r="AF96">
        <v>51</v>
      </c>
      <c r="AG96">
        <v>62</v>
      </c>
      <c r="AI96" t="s">
        <v>30</v>
      </c>
      <c r="AJ96">
        <f t="shared" si="1"/>
        <v>11</v>
      </c>
    </row>
    <row r="97" spans="19:36" x14ac:dyDescent="0.35">
      <c r="S97" t="s">
        <v>17</v>
      </c>
      <c r="T97" t="s">
        <v>14</v>
      </c>
      <c r="U97" t="s">
        <v>30</v>
      </c>
      <c r="V97">
        <v>48</v>
      </c>
      <c r="W97">
        <v>54</v>
      </c>
      <c r="X97">
        <v>58</v>
      </c>
      <c r="Y97">
        <v>61</v>
      </c>
      <c r="Z97">
        <v>51</v>
      </c>
      <c r="AA97">
        <v>61</v>
      </c>
      <c r="AB97">
        <v>28</v>
      </c>
      <c r="AC97">
        <v>55</v>
      </c>
      <c r="AD97">
        <v>51</v>
      </c>
      <c r="AE97">
        <v>51</v>
      </c>
      <c r="AF97">
        <v>54</v>
      </c>
      <c r="AG97">
        <v>48</v>
      </c>
      <c r="AI97" t="s">
        <v>30</v>
      </c>
      <c r="AJ97">
        <f t="shared" si="1"/>
        <v>11</v>
      </c>
    </row>
    <row r="98" spans="19:36" x14ac:dyDescent="0.35">
      <c r="S98" t="s">
        <v>17</v>
      </c>
      <c r="T98" t="s">
        <v>15</v>
      </c>
      <c r="U98" t="s">
        <v>30</v>
      </c>
      <c r="V98">
        <v>52</v>
      </c>
      <c r="W98">
        <v>46</v>
      </c>
      <c r="X98">
        <v>42</v>
      </c>
      <c r="Y98">
        <v>39</v>
      </c>
      <c r="Z98">
        <v>49</v>
      </c>
      <c r="AA98">
        <v>39</v>
      </c>
      <c r="AB98">
        <v>72</v>
      </c>
      <c r="AC98">
        <v>45</v>
      </c>
      <c r="AD98">
        <v>49</v>
      </c>
      <c r="AE98">
        <v>49</v>
      </c>
      <c r="AF98">
        <v>46</v>
      </c>
      <c r="AG98">
        <v>52</v>
      </c>
      <c r="AI98" t="s">
        <v>30</v>
      </c>
      <c r="AJ98">
        <f t="shared" si="1"/>
        <v>11</v>
      </c>
    </row>
    <row r="99" spans="19:36" x14ac:dyDescent="0.35">
      <c r="S99" t="s">
        <v>59</v>
      </c>
      <c r="T99" t="s">
        <v>14</v>
      </c>
      <c r="U99" t="s">
        <v>30</v>
      </c>
      <c r="V99">
        <v>45</v>
      </c>
      <c r="W99">
        <v>47</v>
      </c>
      <c r="X99">
        <v>53</v>
      </c>
      <c r="Y99">
        <v>55</v>
      </c>
      <c r="Z99">
        <v>53</v>
      </c>
      <c r="AA99">
        <v>55</v>
      </c>
      <c r="AB99">
        <v>36</v>
      </c>
      <c r="AC99">
        <v>47</v>
      </c>
      <c r="AD99">
        <v>53</v>
      </c>
      <c r="AE99">
        <v>53</v>
      </c>
      <c r="AF99">
        <v>57</v>
      </c>
      <c r="AG99">
        <v>47</v>
      </c>
      <c r="AI99" t="s">
        <v>30</v>
      </c>
      <c r="AJ99">
        <f t="shared" si="1"/>
        <v>11</v>
      </c>
    </row>
    <row r="100" spans="19:36" x14ac:dyDescent="0.35">
      <c r="S100" t="s">
        <v>59</v>
      </c>
      <c r="T100" t="s">
        <v>15</v>
      </c>
      <c r="U100" t="s">
        <v>30</v>
      </c>
      <c r="V100">
        <v>55</v>
      </c>
      <c r="W100">
        <v>53</v>
      </c>
      <c r="X100">
        <v>47</v>
      </c>
      <c r="Y100">
        <v>45</v>
      </c>
      <c r="Z100">
        <v>47</v>
      </c>
      <c r="AA100">
        <v>45</v>
      </c>
      <c r="AB100">
        <v>64</v>
      </c>
      <c r="AC100">
        <v>53</v>
      </c>
      <c r="AD100">
        <v>47</v>
      </c>
      <c r="AE100">
        <v>47</v>
      </c>
      <c r="AF100">
        <v>43</v>
      </c>
      <c r="AG100">
        <v>53</v>
      </c>
      <c r="AI100" t="s">
        <v>30</v>
      </c>
      <c r="AJ100">
        <f t="shared" si="1"/>
        <v>11</v>
      </c>
    </row>
    <row r="101" spans="19:36" x14ac:dyDescent="0.35">
      <c r="S101" t="s">
        <v>13</v>
      </c>
      <c r="T101" t="s">
        <v>14</v>
      </c>
      <c r="U101" t="s">
        <v>31</v>
      </c>
      <c r="V101">
        <v>38</v>
      </c>
      <c r="W101">
        <v>46</v>
      </c>
      <c r="X101">
        <v>55</v>
      </c>
      <c r="Y101">
        <v>54</v>
      </c>
      <c r="Z101">
        <v>43</v>
      </c>
      <c r="AA101">
        <v>59</v>
      </c>
      <c r="AB101">
        <v>39</v>
      </c>
      <c r="AC101">
        <v>47</v>
      </c>
      <c r="AD101">
        <v>51</v>
      </c>
      <c r="AE101">
        <v>50</v>
      </c>
      <c r="AF101">
        <v>50</v>
      </c>
      <c r="AG101">
        <v>38</v>
      </c>
      <c r="AI101" t="s">
        <v>31</v>
      </c>
      <c r="AJ101">
        <f t="shared" si="1"/>
        <v>12</v>
      </c>
    </row>
    <row r="102" spans="19:36" x14ac:dyDescent="0.35">
      <c r="S102" t="s">
        <v>13</v>
      </c>
      <c r="T102" t="s">
        <v>15</v>
      </c>
      <c r="U102" t="s">
        <v>31</v>
      </c>
      <c r="V102">
        <v>62</v>
      </c>
      <c r="W102">
        <v>54</v>
      </c>
      <c r="X102">
        <v>45</v>
      </c>
      <c r="Y102">
        <v>46</v>
      </c>
      <c r="Z102">
        <v>57</v>
      </c>
      <c r="AA102">
        <v>41</v>
      </c>
      <c r="AB102">
        <v>61</v>
      </c>
      <c r="AC102">
        <v>53</v>
      </c>
      <c r="AD102">
        <v>49</v>
      </c>
      <c r="AE102">
        <v>50</v>
      </c>
      <c r="AF102">
        <v>50</v>
      </c>
      <c r="AG102">
        <v>62</v>
      </c>
      <c r="AI102" t="s">
        <v>31</v>
      </c>
      <c r="AJ102">
        <f t="shared" si="1"/>
        <v>12</v>
      </c>
    </row>
    <row r="103" spans="19:36" x14ac:dyDescent="0.35">
      <c r="S103" t="s">
        <v>16</v>
      </c>
      <c r="T103" t="s">
        <v>14</v>
      </c>
      <c r="U103" t="s">
        <v>31</v>
      </c>
      <c r="V103">
        <v>38</v>
      </c>
      <c r="W103">
        <v>46</v>
      </c>
      <c r="X103">
        <v>55</v>
      </c>
      <c r="Y103">
        <v>53</v>
      </c>
      <c r="Z103">
        <v>42</v>
      </c>
      <c r="AA103">
        <v>58</v>
      </c>
      <c r="AB103">
        <v>39</v>
      </c>
      <c r="AC103">
        <v>47</v>
      </c>
      <c r="AD103">
        <v>51</v>
      </c>
      <c r="AE103">
        <v>49</v>
      </c>
      <c r="AF103">
        <v>49</v>
      </c>
      <c r="AG103">
        <v>38</v>
      </c>
      <c r="AI103" t="s">
        <v>31</v>
      </c>
      <c r="AJ103">
        <f t="shared" si="1"/>
        <v>12</v>
      </c>
    </row>
    <row r="104" spans="19:36" x14ac:dyDescent="0.35">
      <c r="S104" t="s">
        <v>16</v>
      </c>
      <c r="T104" t="s">
        <v>15</v>
      </c>
      <c r="U104" t="s">
        <v>31</v>
      </c>
      <c r="V104">
        <v>62</v>
      </c>
      <c r="W104">
        <v>54</v>
      </c>
      <c r="X104">
        <v>45</v>
      </c>
      <c r="Y104">
        <v>47</v>
      </c>
      <c r="Z104">
        <v>58</v>
      </c>
      <c r="AA104">
        <v>42</v>
      </c>
      <c r="AB104">
        <v>61</v>
      </c>
      <c r="AC104">
        <v>53</v>
      </c>
      <c r="AD104">
        <v>49</v>
      </c>
      <c r="AE104">
        <v>51</v>
      </c>
      <c r="AF104">
        <v>51</v>
      </c>
      <c r="AG104">
        <v>62</v>
      </c>
      <c r="AI104" t="s">
        <v>31</v>
      </c>
      <c r="AJ104">
        <f t="shared" si="1"/>
        <v>12</v>
      </c>
    </row>
    <row r="105" spans="19:36" x14ac:dyDescent="0.35">
      <c r="S105" t="s">
        <v>17</v>
      </c>
      <c r="T105" t="s">
        <v>14</v>
      </c>
      <c r="U105" t="s">
        <v>31</v>
      </c>
      <c r="V105">
        <v>41</v>
      </c>
      <c r="W105">
        <v>54</v>
      </c>
      <c r="X105">
        <v>56</v>
      </c>
      <c r="Y105">
        <v>59</v>
      </c>
      <c r="Z105">
        <v>49</v>
      </c>
      <c r="AA105">
        <v>62</v>
      </c>
      <c r="AB105">
        <v>32</v>
      </c>
      <c r="AC105">
        <v>55</v>
      </c>
      <c r="AD105">
        <v>52</v>
      </c>
      <c r="AE105">
        <v>55</v>
      </c>
      <c r="AF105">
        <v>49</v>
      </c>
      <c r="AG105">
        <v>41</v>
      </c>
      <c r="AI105" t="s">
        <v>31</v>
      </c>
      <c r="AJ105">
        <f t="shared" si="1"/>
        <v>12</v>
      </c>
    </row>
    <row r="106" spans="19:36" x14ac:dyDescent="0.35">
      <c r="S106" t="s">
        <v>17</v>
      </c>
      <c r="T106" t="s">
        <v>15</v>
      </c>
      <c r="U106" t="s">
        <v>31</v>
      </c>
      <c r="V106">
        <v>59</v>
      </c>
      <c r="W106">
        <v>46</v>
      </c>
      <c r="X106">
        <v>44</v>
      </c>
      <c r="Y106">
        <v>41</v>
      </c>
      <c r="Z106">
        <v>51</v>
      </c>
      <c r="AA106">
        <v>38</v>
      </c>
      <c r="AB106">
        <v>68</v>
      </c>
      <c r="AC106">
        <v>45</v>
      </c>
      <c r="AD106">
        <v>48</v>
      </c>
      <c r="AE106">
        <v>45</v>
      </c>
      <c r="AF106">
        <v>51</v>
      </c>
      <c r="AG106">
        <v>59</v>
      </c>
      <c r="AI106" t="s">
        <v>31</v>
      </c>
      <c r="AJ106">
        <f t="shared" si="1"/>
        <v>12</v>
      </c>
    </row>
    <row r="107" spans="19:36" x14ac:dyDescent="0.35">
      <c r="S107" t="s">
        <v>59</v>
      </c>
      <c r="T107" t="s">
        <v>14</v>
      </c>
      <c r="U107" t="s">
        <v>31</v>
      </c>
      <c r="V107">
        <v>36</v>
      </c>
      <c r="W107">
        <v>53</v>
      </c>
      <c r="X107">
        <v>55</v>
      </c>
      <c r="Y107">
        <v>53</v>
      </c>
      <c r="Z107">
        <v>43</v>
      </c>
      <c r="AA107">
        <v>57</v>
      </c>
      <c r="AB107">
        <v>43</v>
      </c>
      <c r="AC107">
        <v>53</v>
      </c>
      <c r="AD107">
        <v>51</v>
      </c>
      <c r="AE107">
        <v>47</v>
      </c>
      <c r="AF107">
        <v>49</v>
      </c>
      <c r="AG107">
        <v>36</v>
      </c>
      <c r="AI107" t="s">
        <v>31</v>
      </c>
      <c r="AJ107">
        <f t="shared" si="1"/>
        <v>12</v>
      </c>
    </row>
    <row r="108" spans="19:36" x14ac:dyDescent="0.35">
      <c r="S108" t="s">
        <v>59</v>
      </c>
      <c r="T108" t="s">
        <v>15</v>
      </c>
      <c r="U108" t="s">
        <v>31</v>
      </c>
      <c r="V108">
        <v>64</v>
      </c>
      <c r="W108">
        <v>47</v>
      </c>
      <c r="X108">
        <v>45</v>
      </c>
      <c r="Y108">
        <v>47</v>
      </c>
      <c r="Z108">
        <v>57</v>
      </c>
      <c r="AA108">
        <v>43</v>
      </c>
      <c r="AB108">
        <v>57</v>
      </c>
      <c r="AC108">
        <v>47</v>
      </c>
      <c r="AD108">
        <v>49</v>
      </c>
      <c r="AE108">
        <v>53</v>
      </c>
      <c r="AF108">
        <v>51</v>
      </c>
      <c r="AG108">
        <v>64</v>
      </c>
      <c r="AI108" t="s">
        <v>31</v>
      </c>
      <c r="AJ108">
        <f t="shared" si="1"/>
        <v>12</v>
      </c>
    </row>
  </sheetData>
  <phoneticPr fontId="1"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Sheet4</vt:lpstr>
      <vt:lpstr>Sheet1</vt:lpstr>
      <vt:lpstr>Sheet3</vt:lpstr>
      <vt:lpstr>Decay Indicators</vt:lpstr>
      <vt:lpstr>FrequencyTables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 Cota</dc:creator>
  <cp:lastModifiedBy>Luis Cota</cp:lastModifiedBy>
  <dcterms:created xsi:type="dcterms:W3CDTF">2024-01-11T17:54:57Z</dcterms:created>
  <dcterms:modified xsi:type="dcterms:W3CDTF">2024-01-24T21:37:55Z</dcterms:modified>
</cp:coreProperties>
</file>